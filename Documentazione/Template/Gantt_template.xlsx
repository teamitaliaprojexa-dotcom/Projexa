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https://tsspa.sharepoint.com/sites/G365-TSHRAccountGrandiClienti/Documenti condivisi/General/Template presentazioni/Gantt/"/>
    </mc:Choice>
  </mc:AlternateContent>
  <xr:revisionPtr revIDLastSave="274" documentId="8_{8E464A79-8005-41F6-8307-3A4EDC12468D}" xr6:coauthVersionLast="47" xr6:coauthVersionMax="47" xr10:uidLastSave="{A4A4B7B3-3476-C847-818A-0DA422D99349}"/>
  <bookViews>
    <workbookView xWindow="-120" yWindow="-120" windowWidth="29040" windowHeight="15720" firstSheet="1" activeTab="1" xr2:uid="{00000000-000D-0000-FFFF-FFFF00000000}"/>
  </bookViews>
  <sheets>
    <sheet name="Setup ⚙️" sheetId="2" r:id="rId1"/>
    <sheet name="Gantt Chart 📅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3" l="1"/>
  <c r="H8" i="3"/>
  <c r="D6" i="3"/>
  <c r="H52" i="3"/>
  <c r="H51" i="3"/>
  <c r="H1" i="3"/>
  <c r="BA25" i="2"/>
  <c r="BA24" i="2"/>
  <c r="BA23" i="2"/>
  <c r="BA22" i="2"/>
  <c r="AQ22" i="2"/>
  <c r="BA21" i="2"/>
  <c r="AQ21" i="2"/>
  <c r="BA20" i="2"/>
  <c r="AQ20" i="2"/>
  <c r="BA19" i="2"/>
  <c r="AQ19" i="2"/>
  <c r="BA18" i="2"/>
  <c r="AQ18" i="2"/>
  <c r="BA17" i="2"/>
  <c r="BA16" i="2"/>
  <c r="BA15" i="2"/>
  <c r="BA14" i="2"/>
  <c r="BA13" i="2"/>
  <c r="BA12" i="2"/>
  <c r="BA11" i="2"/>
  <c r="AQ11" i="2"/>
  <c r="BA10" i="2"/>
  <c r="AQ10" i="2"/>
  <c r="BA9" i="2"/>
  <c r="AQ9" i="2"/>
  <c r="BA8" i="2"/>
  <c r="AQ8" i="2"/>
  <c r="BA7" i="2"/>
  <c r="AQ7" i="2"/>
  <c r="BA6" i="2"/>
  <c r="AQ6" i="2"/>
  <c r="H3" i="3"/>
  <c r="I9" i="3"/>
  <c r="J9" i="3"/>
  <c r="H53" i="3"/>
  <c r="H54" i="3"/>
  <c r="H57" i="3"/>
  <c r="G1" i="3"/>
  <c r="G2" i="3"/>
  <c r="G3" i="3"/>
  <c r="G4" i="3"/>
  <c r="G6" i="3"/>
  <c r="I29" i="3" a="1"/>
  <c r="I29" i="3"/>
  <c r="I30" i="3" a="1"/>
  <c r="I30" i="3"/>
  <c r="J53" i="3"/>
  <c r="J3" i="3"/>
  <c r="I8" i="3"/>
  <c r="I3" i="3"/>
  <c r="I53" i="3"/>
  <c r="K9" i="3"/>
  <c r="J8" i="3"/>
  <c r="K53" i="3"/>
  <c r="K8" i="3"/>
  <c r="I54" i="3"/>
  <c r="I55" i="3"/>
  <c r="I56" i="3"/>
  <c r="L9" i="3"/>
  <c r="L53" i="3"/>
  <c r="K3" i="3"/>
  <c r="J54" i="3"/>
  <c r="J55" i="3"/>
  <c r="J56" i="3"/>
  <c r="J58" i="3"/>
  <c r="J50" i="3"/>
  <c r="M9" i="3"/>
  <c r="M53" i="3"/>
  <c r="L8" i="3"/>
  <c r="L3" i="3"/>
  <c r="K54" i="3"/>
  <c r="K55" i="3"/>
  <c r="K56" i="3"/>
  <c r="K58" i="3"/>
  <c r="K50" i="3"/>
  <c r="K51" i="3"/>
  <c r="N9" i="3"/>
  <c r="N53" i="3"/>
  <c r="M8" i="3"/>
  <c r="M3" i="3"/>
  <c r="L54" i="3"/>
  <c r="L55" i="3"/>
  <c r="L56" i="3"/>
  <c r="L58" i="3"/>
  <c r="L50" i="3"/>
  <c r="M52" i="3"/>
  <c r="L52" i="3"/>
  <c r="K57" i="3"/>
  <c r="O9" i="3"/>
  <c r="O53" i="3"/>
  <c r="N8" i="3"/>
  <c r="N3" i="3"/>
  <c r="M54" i="3"/>
  <c r="M55" i="3"/>
  <c r="M56" i="3"/>
  <c r="M58" i="3"/>
  <c r="M50" i="3"/>
  <c r="M51" i="3"/>
  <c r="L51" i="3"/>
  <c r="L57" i="3"/>
  <c r="P9" i="3"/>
  <c r="P53" i="3"/>
  <c r="O8" i="3"/>
  <c r="O3" i="3"/>
  <c r="N54" i="3"/>
  <c r="L1" i="3"/>
  <c r="N52" i="3"/>
  <c r="M57" i="3"/>
  <c r="M1" i="3"/>
  <c r="N55" i="3"/>
  <c r="N56" i="3"/>
  <c r="N58" i="3"/>
  <c r="N50" i="3"/>
  <c r="O52" i="3"/>
  <c r="O54" i="3"/>
  <c r="Q9" i="3"/>
  <c r="Q53" i="3"/>
  <c r="P8" i="3"/>
  <c r="P3" i="3"/>
  <c r="N51" i="3"/>
  <c r="N57" i="3"/>
  <c r="O55" i="3"/>
  <c r="O56" i="3"/>
  <c r="O58" i="3"/>
  <c r="O50" i="3"/>
  <c r="P52" i="3"/>
  <c r="P54" i="3"/>
  <c r="R9" i="3"/>
  <c r="R53" i="3"/>
  <c r="Q8" i="3"/>
  <c r="Q3" i="3"/>
  <c r="N1" i="3"/>
  <c r="O51" i="3"/>
  <c r="O57" i="3"/>
  <c r="P55" i="3"/>
  <c r="P56" i="3"/>
  <c r="P58" i="3"/>
  <c r="P50" i="3"/>
  <c r="Q52" i="3"/>
  <c r="Q54" i="3"/>
  <c r="S9" i="3"/>
  <c r="S53" i="3"/>
  <c r="R8" i="3"/>
  <c r="R3" i="3"/>
  <c r="O1" i="3"/>
  <c r="P51" i="3"/>
  <c r="P57" i="3"/>
  <c r="P1" i="3"/>
  <c r="Q55" i="3"/>
  <c r="Q56" i="3"/>
  <c r="Q58" i="3"/>
  <c r="Q50" i="3"/>
  <c r="R52" i="3"/>
  <c r="R54" i="3"/>
  <c r="T9" i="3"/>
  <c r="T53" i="3"/>
  <c r="S8" i="3"/>
  <c r="S3" i="3"/>
  <c r="Q51" i="3"/>
  <c r="Q57" i="3"/>
  <c r="R55" i="3"/>
  <c r="R56" i="3"/>
  <c r="R58" i="3"/>
  <c r="R50" i="3"/>
  <c r="S52" i="3"/>
  <c r="S54" i="3"/>
  <c r="U9" i="3"/>
  <c r="U53" i="3"/>
  <c r="T8" i="3"/>
  <c r="T3" i="3"/>
  <c r="Q1" i="3"/>
  <c r="R51" i="3"/>
  <c r="R57" i="3"/>
  <c r="S55" i="3"/>
  <c r="S56" i="3"/>
  <c r="S58" i="3"/>
  <c r="S50" i="3"/>
  <c r="T52" i="3"/>
  <c r="T54" i="3"/>
  <c r="V9" i="3"/>
  <c r="V53" i="3"/>
  <c r="U8" i="3"/>
  <c r="U3" i="3"/>
  <c r="S51" i="3"/>
  <c r="S1" i="3"/>
  <c r="R1" i="3"/>
  <c r="T55" i="3"/>
  <c r="T56" i="3"/>
  <c r="T58" i="3"/>
  <c r="T50" i="3"/>
  <c r="U52" i="3"/>
  <c r="U54" i="3"/>
  <c r="W9" i="3"/>
  <c r="W53" i="3"/>
  <c r="V8" i="3"/>
  <c r="V3" i="3"/>
  <c r="S57" i="3"/>
  <c r="T51" i="3"/>
  <c r="T57" i="3"/>
  <c r="T1" i="3"/>
  <c r="U55" i="3"/>
  <c r="U56" i="3"/>
  <c r="U58" i="3"/>
  <c r="U50" i="3"/>
  <c r="V52" i="3"/>
  <c r="V54" i="3"/>
  <c r="X9" i="3"/>
  <c r="X53" i="3"/>
  <c r="W8" i="3"/>
  <c r="W3" i="3"/>
  <c r="U51" i="3"/>
  <c r="U57" i="3"/>
  <c r="V55" i="3"/>
  <c r="V56" i="3"/>
  <c r="V58" i="3"/>
  <c r="V50" i="3"/>
  <c r="W52" i="3"/>
  <c r="W54" i="3"/>
  <c r="Y9" i="3"/>
  <c r="Y53" i="3"/>
  <c r="X8" i="3"/>
  <c r="X3" i="3"/>
  <c r="U1" i="3"/>
  <c r="V51" i="3"/>
  <c r="V57" i="3"/>
  <c r="V1" i="3"/>
  <c r="W55" i="3"/>
  <c r="W56" i="3"/>
  <c r="W58" i="3"/>
  <c r="W50" i="3"/>
  <c r="X52" i="3"/>
  <c r="X54" i="3"/>
  <c r="Z9" i="3"/>
  <c r="Z53" i="3"/>
  <c r="Y8" i="3"/>
  <c r="Y3" i="3"/>
  <c r="W51" i="3"/>
  <c r="W57" i="3"/>
  <c r="X55" i="3"/>
  <c r="X56" i="3"/>
  <c r="X58" i="3"/>
  <c r="X50" i="3"/>
  <c r="X51" i="3"/>
  <c r="Y54" i="3"/>
  <c r="AA9" i="3"/>
  <c r="AA53" i="3"/>
  <c r="Z8" i="3"/>
  <c r="Z3" i="3"/>
  <c r="W1" i="3"/>
  <c r="Y52" i="3"/>
  <c r="X57" i="3"/>
  <c r="X1" i="3"/>
  <c r="Y55" i="3"/>
  <c r="Y56" i="3"/>
  <c r="Y58" i="3"/>
  <c r="Y50" i="3"/>
  <c r="Z52" i="3"/>
  <c r="Z54" i="3"/>
  <c r="AB9" i="3"/>
  <c r="AB53" i="3"/>
  <c r="AA8" i="3"/>
  <c r="AA3" i="3"/>
  <c r="Y51" i="3"/>
  <c r="Y57" i="3"/>
  <c r="Y1" i="3"/>
  <c r="Z55" i="3"/>
  <c r="Z56" i="3"/>
  <c r="Z58" i="3"/>
  <c r="Z50" i="3"/>
  <c r="AA52" i="3"/>
  <c r="AA54" i="3"/>
  <c r="AC9" i="3"/>
  <c r="AC53" i="3"/>
  <c r="AB8" i="3"/>
  <c r="AB3" i="3"/>
  <c r="Z51" i="3"/>
  <c r="Z57" i="3"/>
  <c r="AA55" i="3"/>
  <c r="AA56" i="3"/>
  <c r="AA58" i="3"/>
  <c r="AA50" i="3"/>
  <c r="AB52" i="3"/>
  <c r="AB54" i="3"/>
  <c r="AD9" i="3"/>
  <c r="AD53" i="3"/>
  <c r="AC8" i="3"/>
  <c r="AC3" i="3"/>
  <c r="AA51" i="3"/>
  <c r="AA57" i="3"/>
  <c r="Z1" i="3"/>
  <c r="AA1" i="3"/>
  <c r="AB55" i="3"/>
  <c r="AB56" i="3"/>
  <c r="AB58" i="3"/>
  <c r="AB50" i="3"/>
  <c r="AC52" i="3"/>
  <c r="AC54" i="3"/>
  <c r="AE9" i="3"/>
  <c r="AE53" i="3"/>
  <c r="AD8" i="3"/>
  <c r="AD3" i="3"/>
  <c r="AB51" i="3"/>
  <c r="AB57" i="3"/>
  <c r="AC55" i="3"/>
  <c r="AC56" i="3"/>
  <c r="AC58" i="3"/>
  <c r="AC50" i="3"/>
  <c r="AD52" i="3"/>
  <c r="AD54" i="3"/>
  <c r="AF9" i="3"/>
  <c r="AF53" i="3"/>
  <c r="AE8" i="3"/>
  <c r="AE3" i="3"/>
  <c r="AB1" i="3"/>
  <c r="AC51" i="3"/>
  <c r="AC57" i="3"/>
  <c r="AC1" i="3"/>
  <c r="AD55" i="3"/>
  <c r="AD56" i="3"/>
  <c r="AD58" i="3"/>
  <c r="AD50" i="3"/>
  <c r="AE52" i="3"/>
  <c r="AE54" i="3"/>
  <c r="AG9" i="3"/>
  <c r="AG53" i="3"/>
  <c r="AF8" i="3"/>
  <c r="AF3" i="3"/>
  <c r="AD51" i="3"/>
  <c r="AD57" i="3"/>
  <c r="AD1" i="3"/>
  <c r="AE55" i="3"/>
  <c r="AE56" i="3"/>
  <c r="AE58" i="3"/>
  <c r="AE50" i="3"/>
  <c r="AF52" i="3"/>
  <c r="AF54" i="3"/>
  <c r="AH9" i="3"/>
  <c r="AH53" i="3"/>
  <c r="AG8" i="3"/>
  <c r="AG3" i="3"/>
  <c r="AE51" i="3"/>
  <c r="AE57" i="3"/>
  <c r="AF55" i="3"/>
  <c r="AF56" i="3"/>
  <c r="AF58" i="3"/>
  <c r="AF50" i="3"/>
  <c r="AF51" i="3"/>
  <c r="AG54" i="3"/>
  <c r="AI9" i="3"/>
  <c r="AI53" i="3"/>
  <c r="AH8" i="3"/>
  <c r="AH3" i="3"/>
  <c r="AG52" i="3"/>
  <c r="AE1" i="3"/>
  <c r="AF57" i="3"/>
  <c r="AF1" i="3"/>
  <c r="AG55" i="3"/>
  <c r="AG56" i="3"/>
  <c r="AG58" i="3"/>
  <c r="AG50" i="3"/>
  <c r="AH52" i="3"/>
  <c r="AH54" i="3"/>
  <c r="AJ9" i="3"/>
  <c r="AJ53" i="3"/>
  <c r="AI8" i="3"/>
  <c r="AI3" i="3"/>
  <c r="AG51" i="3"/>
  <c r="AG57" i="3"/>
  <c r="AH55" i="3"/>
  <c r="AH56" i="3"/>
  <c r="AH58" i="3"/>
  <c r="AH50" i="3"/>
  <c r="AI52" i="3"/>
  <c r="AI54" i="3"/>
  <c r="AK9" i="3"/>
  <c r="AK53" i="3"/>
  <c r="AJ8" i="3"/>
  <c r="AJ3" i="3"/>
  <c r="AG1" i="3"/>
  <c r="AH51" i="3"/>
  <c r="AH57" i="3"/>
  <c r="AH1" i="3"/>
  <c r="AI55" i="3"/>
  <c r="AI56" i="3"/>
  <c r="AI58" i="3"/>
  <c r="AI50" i="3"/>
  <c r="AI51" i="3"/>
  <c r="AJ54" i="3"/>
  <c r="AL9" i="3"/>
  <c r="AL53" i="3"/>
  <c r="AK8" i="3"/>
  <c r="AK3" i="3"/>
  <c r="AJ52" i="3"/>
  <c r="AI57" i="3"/>
  <c r="AI1" i="3"/>
  <c r="AJ55" i="3"/>
  <c r="AJ56" i="3"/>
  <c r="AJ58" i="3"/>
  <c r="AJ50" i="3"/>
  <c r="AK52" i="3"/>
  <c r="AK54" i="3"/>
  <c r="AM9" i="3"/>
  <c r="AM53" i="3"/>
  <c r="AL8" i="3"/>
  <c r="AL3" i="3"/>
  <c r="AJ51" i="3"/>
  <c r="AJ57" i="3"/>
  <c r="AJ1" i="3"/>
  <c r="AK55" i="3"/>
  <c r="AK56" i="3"/>
  <c r="AK58" i="3"/>
  <c r="AK50" i="3"/>
  <c r="AL52" i="3"/>
  <c r="AL54" i="3"/>
  <c r="AN9" i="3"/>
  <c r="AN53" i="3"/>
  <c r="AM8" i="3"/>
  <c r="AM3" i="3"/>
  <c r="AK51" i="3"/>
  <c r="AK57" i="3"/>
  <c r="AL55" i="3"/>
  <c r="AL56" i="3"/>
  <c r="AL58" i="3"/>
  <c r="AL50" i="3"/>
  <c r="AM52" i="3"/>
  <c r="AM54" i="3"/>
  <c r="AO9" i="3"/>
  <c r="AO53" i="3"/>
  <c r="AN8" i="3"/>
  <c r="AN3" i="3"/>
  <c r="AK1" i="3"/>
  <c r="AL51" i="3"/>
  <c r="AL57" i="3"/>
  <c r="AM55" i="3"/>
  <c r="AM56" i="3"/>
  <c r="AM58" i="3"/>
  <c r="AM50" i="3"/>
  <c r="AN52" i="3"/>
  <c r="AN54" i="3"/>
  <c r="AP9" i="3"/>
  <c r="AP53" i="3"/>
  <c r="AO8" i="3"/>
  <c r="AO3" i="3"/>
  <c r="AL1" i="3"/>
  <c r="AM51" i="3"/>
  <c r="AM57" i="3"/>
  <c r="AN55" i="3"/>
  <c r="AN56" i="3"/>
  <c r="AN58" i="3"/>
  <c r="AN50" i="3"/>
  <c r="AO52" i="3"/>
  <c r="AO54" i="3"/>
  <c r="AQ9" i="3"/>
  <c r="AQ53" i="3"/>
  <c r="AP8" i="3"/>
  <c r="AP3" i="3"/>
  <c r="AM1" i="3"/>
  <c r="AN51" i="3"/>
  <c r="AN57" i="3"/>
  <c r="AN1" i="3"/>
  <c r="AO55" i="3"/>
  <c r="AO56" i="3"/>
  <c r="AO58" i="3"/>
  <c r="AO50" i="3"/>
  <c r="AP52" i="3"/>
  <c r="AP54" i="3"/>
  <c r="AR9" i="3"/>
  <c r="AR53" i="3"/>
  <c r="AQ8" i="3"/>
  <c r="AQ3" i="3"/>
  <c r="AO51" i="3"/>
  <c r="AO57" i="3"/>
  <c r="AP55" i="3"/>
  <c r="AP56" i="3"/>
  <c r="AP58" i="3"/>
  <c r="AP50" i="3"/>
  <c r="AQ52" i="3"/>
  <c r="AQ54" i="3"/>
  <c r="AS9" i="3"/>
  <c r="AS53" i="3"/>
  <c r="AR8" i="3"/>
  <c r="AR3" i="3"/>
  <c r="AO1" i="3"/>
  <c r="AP51" i="3"/>
  <c r="AP57" i="3"/>
  <c r="AQ55" i="3"/>
  <c r="AQ56" i="3"/>
  <c r="AQ58" i="3"/>
  <c r="AQ50" i="3"/>
  <c r="AR52" i="3"/>
  <c r="AR54" i="3"/>
  <c r="AT9" i="3"/>
  <c r="AT53" i="3"/>
  <c r="AS8" i="3"/>
  <c r="AS3" i="3"/>
  <c r="AP1" i="3"/>
  <c r="AQ51" i="3"/>
  <c r="AQ57" i="3"/>
  <c r="AQ1" i="3"/>
  <c r="AR55" i="3"/>
  <c r="AR56" i="3"/>
  <c r="AR58" i="3"/>
  <c r="AR50" i="3"/>
  <c r="AS52" i="3"/>
  <c r="AS54" i="3"/>
  <c r="AU9" i="3"/>
  <c r="AU53" i="3"/>
  <c r="AT8" i="3"/>
  <c r="AT3" i="3"/>
  <c r="AR51" i="3"/>
  <c r="AR57" i="3"/>
  <c r="AR1" i="3"/>
  <c r="AS55" i="3"/>
  <c r="AS56" i="3"/>
  <c r="AS58" i="3"/>
  <c r="AS50" i="3"/>
  <c r="AT52" i="3"/>
  <c r="AT54" i="3"/>
  <c r="AV9" i="3"/>
  <c r="AV53" i="3"/>
  <c r="AU8" i="3"/>
  <c r="AU3" i="3"/>
  <c r="AS51" i="3"/>
  <c r="AS57" i="3"/>
  <c r="AS1" i="3"/>
  <c r="AT55" i="3"/>
  <c r="AT56" i="3"/>
  <c r="AT58" i="3"/>
  <c r="AT50" i="3"/>
  <c r="AU52" i="3"/>
  <c r="AU54" i="3"/>
  <c r="AW9" i="3"/>
  <c r="AW53" i="3"/>
  <c r="AV8" i="3"/>
  <c r="AV3" i="3"/>
  <c r="AT51" i="3"/>
  <c r="AT57" i="3"/>
  <c r="AU55" i="3"/>
  <c r="AU56" i="3"/>
  <c r="AU58" i="3"/>
  <c r="AU50" i="3"/>
  <c r="AV52" i="3"/>
  <c r="AV54" i="3"/>
  <c r="AX9" i="3"/>
  <c r="AX53" i="3"/>
  <c r="AW8" i="3"/>
  <c r="AW3" i="3"/>
  <c r="AT1" i="3"/>
  <c r="AU51" i="3"/>
  <c r="AU57" i="3"/>
  <c r="AU1" i="3"/>
  <c r="AV55" i="3"/>
  <c r="AV56" i="3"/>
  <c r="AV58" i="3"/>
  <c r="AV50" i="3"/>
  <c r="AW52" i="3"/>
  <c r="AW54" i="3"/>
  <c r="AY9" i="3"/>
  <c r="AY53" i="3"/>
  <c r="AX8" i="3"/>
  <c r="AX3" i="3"/>
  <c r="AV51" i="3"/>
  <c r="AV57" i="3"/>
  <c r="AW55" i="3"/>
  <c r="AW56" i="3"/>
  <c r="AW58" i="3"/>
  <c r="AW50" i="3"/>
  <c r="AX52" i="3"/>
  <c r="AX54" i="3"/>
  <c r="AZ9" i="3"/>
  <c r="AZ53" i="3"/>
  <c r="AY8" i="3"/>
  <c r="AY3" i="3"/>
  <c r="AV1" i="3"/>
  <c r="AW51" i="3"/>
  <c r="AW57" i="3"/>
  <c r="AW1" i="3"/>
  <c r="AX55" i="3"/>
  <c r="AX56" i="3"/>
  <c r="AX58" i="3"/>
  <c r="AX50" i="3"/>
  <c r="AY52" i="3"/>
  <c r="AY54" i="3"/>
  <c r="BA9" i="3"/>
  <c r="BA53" i="3"/>
  <c r="AZ8" i="3"/>
  <c r="AZ3" i="3"/>
  <c r="AX51" i="3"/>
  <c r="AX57" i="3"/>
  <c r="AY55" i="3"/>
  <c r="AY56" i="3"/>
  <c r="AY58" i="3"/>
  <c r="AY50" i="3"/>
  <c r="AZ52" i="3"/>
  <c r="AZ54" i="3"/>
  <c r="BB9" i="3"/>
  <c r="BB53" i="3"/>
  <c r="BA8" i="3"/>
  <c r="BA3" i="3"/>
  <c r="AX1" i="3"/>
  <c r="AY51" i="3"/>
  <c r="AY57" i="3"/>
  <c r="AY1" i="3"/>
  <c r="AZ55" i="3"/>
  <c r="AZ56" i="3"/>
  <c r="AZ58" i="3"/>
  <c r="AZ50" i="3"/>
  <c r="BA52" i="3"/>
  <c r="BA54" i="3"/>
  <c r="BC9" i="3"/>
  <c r="BC53" i="3"/>
  <c r="BB8" i="3"/>
  <c r="BB3" i="3"/>
  <c r="AZ51" i="3"/>
  <c r="AZ57" i="3"/>
  <c r="AZ1" i="3"/>
  <c r="BA55" i="3"/>
  <c r="BA56" i="3"/>
  <c r="BA58" i="3"/>
  <c r="BA50" i="3"/>
  <c r="BA51" i="3"/>
  <c r="BB54" i="3"/>
  <c r="BD9" i="3"/>
  <c r="BD53" i="3"/>
  <c r="BC8" i="3"/>
  <c r="BC3" i="3"/>
  <c r="BB52" i="3"/>
  <c r="BA57" i="3"/>
  <c r="BA1" i="3"/>
  <c r="BB55" i="3"/>
  <c r="BB56" i="3"/>
  <c r="BB58" i="3"/>
  <c r="BB50" i="3"/>
  <c r="BC52" i="3"/>
  <c r="BC54" i="3"/>
  <c r="BE9" i="3"/>
  <c r="BE53" i="3"/>
  <c r="BD8" i="3"/>
  <c r="BD3" i="3"/>
  <c r="BB51" i="3"/>
  <c r="BB57" i="3"/>
  <c r="BB1" i="3"/>
  <c r="BC55" i="3"/>
  <c r="BC56" i="3"/>
  <c r="BC58" i="3"/>
  <c r="BC50" i="3"/>
  <c r="BD52" i="3"/>
  <c r="BD54" i="3"/>
  <c r="BF9" i="3"/>
  <c r="BF53" i="3"/>
  <c r="BE8" i="3"/>
  <c r="BE3" i="3"/>
  <c r="BC51" i="3"/>
  <c r="BC57" i="3"/>
  <c r="BD55" i="3"/>
  <c r="BD56" i="3"/>
  <c r="BD58" i="3"/>
  <c r="BD50" i="3"/>
  <c r="BD51" i="3"/>
  <c r="BE54" i="3"/>
  <c r="BG9" i="3"/>
  <c r="BG53" i="3"/>
  <c r="BF8" i="3"/>
  <c r="BF3" i="3"/>
  <c r="BC1" i="3"/>
  <c r="BE52" i="3"/>
  <c r="BD57" i="3"/>
  <c r="BD1" i="3"/>
  <c r="BE55" i="3"/>
  <c r="BE56" i="3"/>
  <c r="BE58" i="3"/>
  <c r="BE50" i="3"/>
  <c r="BF52" i="3"/>
  <c r="BF54" i="3"/>
  <c r="BH9" i="3"/>
  <c r="BH53" i="3"/>
  <c r="BG8" i="3"/>
  <c r="BG3" i="3"/>
  <c r="BE51" i="3"/>
  <c r="BE57" i="3"/>
  <c r="BF55" i="3"/>
  <c r="BF56" i="3"/>
  <c r="BF58" i="3"/>
  <c r="BF50" i="3"/>
  <c r="BG52" i="3"/>
  <c r="BG54" i="3"/>
  <c r="BI9" i="3"/>
  <c r="BI53" i="3"/>
  <c r="BH8" i="3"/>
  <c r="BH3" i="3"/>
  <c r="BF51" i="3"/>
  <c r="BF57" i="3"/>
  <c r="BE1" i="3"/>
  <c r="BF1" i="3"/>
  <c r="BG55" i="3"/>
  <c r="BG56" i="3"/>
  <c r="BG58" i="3"/>
  <c r="BG50" i="3"/>
  <c r="BG51" i="3"/>
  <c r="BH54" i="3"/>
  <c r="BJ9" i="3"/>
  <c r="BJ53" i="3"/>
  <c r="BI8" i="3"/>
  <c r="BI3" i="3"/>
  <c r="BH52" i="3"/>
  <c r="BG57" i="3"/>
  <c r="BG1" i="3"/>
  <c r="BH55" i="3"/>
  <c r="BH56" i="3"/>
  <c r="BH58" i="3"/>
  <c r="BH50" i="3"/>
  <c r="BI52" i="3"/>
  <c r="BI54" i="3"/>
  <c r="BK9" i="3"/>
  <c r="BK53" i="3"/>
  <c r="BJ8" i="3"/>
  <c r="BJ3" i="3"/>
  <c r="BH51" i="3"/>
  <c r="BH57" i="3"/>
  <c r="BI55" i="3"/>
  <c r="BI56" i="3"/>
  <c r="BI58" i="3"/>
  <c r="BI50" i="3"/>
  <c r="BJ52" i="3"/>
  <c r="BJ54" i="3"/>
  <c r="BL9" i="3"/>
  <c r="BL53" i="3"/>
  <c r="BK8" i="3"/>
  <c r="BK3" i="3"/>
  <c r="BI51" i="3"/>
  <c r="BI57" i="3"/>
  <c r="BH1" i="3"/>
  <c r="BJ55" i="3"/>
  <c r="BJ56" i="3"/>
  <c r="BJ58" i="3"/>
  <c r="BJ50" i="3"/>
  <c r="BJ51" i="3"/>
  <c r="BK54" i="3"/>
  <c r="BM9" i="3"/>
  <c r="BM53" i="3"/>
  <c r="BL8" i="3"/>
  <c r="BL3" i="3"/>
  <c r="BI1" i="3"/>
  <c r="BK52" i="3"/>
  <c r="BJ57" i="3"/>
  <c r="BJ1" i="3"/>
  <c r="BK55" i="3"/>
  <c r="BK56" i="3"/>
  <c r="BK58" i="3"/>
  <c r="BK50" i="3"/>
  <c r="BL52" i="3"/>
  <c r="BL54" i="3"/>
  <c r="BN9" i="3"/>
  <c r="BN53" i="3"/>
  <c r="BM8" i="3"/>
  <c r="BM3" i="3"/>
  <c r="BK51" i="3"/>
  <c r="BK57" i="3"/>
  <c r="BK1" i="3"/>
  <c r="BL55" i="3"/>
  <c r="BL56" i="3"/>
  <c r="BL58" i="3"/>
  <c r="BL50" i="3"/>
  <c r="BM52" i="3"/>
  <c r="BM54" i="3"/>
  <c r="BO9" i="3"/>
  <c r="BO53" i="3"/>
  <c r="BN8" i="3"/>
  <c r="BN3" i="3"/>
  <c r="BL51" i="3"/>
  <c r="BL57" i="3"/>
  <c r="BM55" i="3"/>
  <c r="BM56" i="3"/>
  <c r="BM58" i="3"/>
  <c r="BM50" i="3"/>
  <c r="BM51" i="3"/>
  <c r="BN54" i="3"/>
  <c r="BP9" i="3"/>
  <c r="BP53" i="3"/>
  <c r="BO8" i="3"/>
  <c r="BO3" i="3"/>
  <c r="BN52" i="3"/>
  <c r="BL1" i="3"/>
  <c r="BM57" i="3"/>
  <c r="BM1" i="3"/>
  <c r="BN55" i="3"/>
  <c r="BN56" i="3"/>
  <c r="BN58" i="3"/>
  <c r="BN50" i="3"/>
  <c r="BO52" i="3"/>
  <c r="BO54" i="3"/>
  <c r="BQ9" i="3"/>
  <c r="BQ53" i="3"/>
  <c r="BP8" i="3"/>
  <c r="BP3" i="3"/>
  <c r="BN51" i="3"/>
  <c r="BN57" i="3"/>
  <c r="BN1" i="3"/>
  <c r="BO55" i="3"/>
  <c r="BO56" i="3"/>
  <c r="BO58" i="3"/>
  <c r="BO50" i="3"/>
  <c r="BP52" i="3"/>
  <c r="BP54" i="3"/>
  <c r="BR9" i="3"/>
  <c r="BR53" i="3"/>
  <c r="BQ8" i="3"/>
  <c r="BQ3" i="3"/>
  <c r="BO51" i="3"/>
  <c r="BO57" i="3"/>
  <c r="BO1" i="3"/>
  <c r="BP55" i="3"/>
  <c r="BP56" i="3"/>
  <c r="BP58" i="3"/>
  <c r="BP50" i="3"/>
  <c r="BQ52" i="3"/>
  <c r="BQ54" i="3"/>
  <c r="BS9" i="3"/>
  <c r="BS53" i="3"/>
  <c r="BR8" i="3"/>
  <c r="BR3" i="3"/>
  <c r="BP51" i="3"/>
  <c r="BP57" i="3"/>
  <c r="BP1" i="3"/>
  <c r="BQ55" i="3"/>
  <c r="BQ56" i="3"/>
  <c r="BQ58" i="3"/>
  <c r="BQ50" i="3"/>
  <c r="BR52" i="3"/>
  <c r="BR54" i="3"/>
  <c r="BT9" i="3"/>
  <c r="BT53" i="3"/>
  <c r="BS8" i="3"/>
  <c r="BS3" i="3"/>
  <c r="BQ51" i="3"/>
  <c r="BQ57" i="3"/>
  <c r="BQ1" i="3"/>
  <c r="BR55" i="3"/>
  <c r="BR56" i="3"/>
  <c r="BR58" i="3"/>
  <c r="BR50" i="3"/>
  <c r="BS52" i="3"/>
  <c r="BS54" i="3"/>
  <c r="BU9" i="3"/>
  <c r="BU53" i="3"/>
  <c r="BT8" i="3"/>
  <c r="BT3" i="3"/>
  <c r="BR51" i="3"/>
  <c r="BR57" i="3"/>
  <c r="BS55" i="3"/>
  <c r="BS56" i="3"/>
  <c r="BS58" i="3"/>
  <c r="BS50" i="3"/>
  <c r="BT52" i="3"/>
  <c r="BT54" i="3"/>
  <c r="BV9" i="3"/>
  <c r="BV53" i="3"/>
  <c r="BU8" i="3"/>
  <c r="BU3" i="3"/>
  <c r="BR1" i="3"/>
  <c r="BS51" i="3"/>
  <c r="BS57" i="3"/>
  <c r="BT55" i="3"/>
  <c r="BT56" i="3"/>
  <c r="BT58" i="3"/>
  <c r="BT50" i="3"/>
  <c r="BU52" i="3"/>
  <c r="BU54" i="3"/>
  <c r="BW9" i="3"/>
  <c r="BW53" i="3"/>
  <c r="BV8" i="3"/>
  <c r="BV3" i="3"/>
  <c r="BS1" i="3"/>
  <c r="BT51" i="3"/>
  <c r="BT57" i="3"/>
  <c r="BT1" i="3"/>
  <c r="BU55" i="3"/>
  <c r="BU56" i="3"/>
  <c r="BU58" i="3"/>
  <c r="BU50" i="3"/>
  <c r="BV52" i="3"/>
  <c r="BV54" i="3"/>
  <c r="BX9" i="3"/>
  <c r="BX53" i="3"/>
  <c r="BW8" i="3"/>
  <c r="BW3" i="3"/>
  <c r="BU51" i="3"/>
  <c r="BU57" i="3"/>
  <c r="BU1" i="3"/>
  <c r="BV55" i="3"/>
  <c r="BV56" i="3"/>
  <c r="BV58" i="3"/>
  <c r="BV50" i="3"/>
  <c r="BW52" i="3"/>
  <c r="BW54" i="3"/>
  <c r="BY9" i="3"/>
  <c r="BY53" i="3"/>
  <c r="BX8" i="3"/>
  <c r="BX3" i="3"/>
  <c r="BV51" i="3"/>
  <c r="BV57" i="3"/>
  <c r="BW55" i="3"/>
  <c r="BW56" i="3"/>
  <c r="BW58" i="3"/>
  <c r="BW50" i="3"/>
  <c r="BW51" i="3"/>
  <c r="BX54" i="3"/>
  <c r="BZ9" i="3"/>
  <c r="BZ53" i="3"/>
  <c r="BY8" i="3"/>
  <c r="BY3" i="3"/>
  <c r="BV1" i="3"/>
  <c r="BX52" i="3"/>
  <c r="BW57" i="3"/>
  <c r="BW1" i="3"/>
  <c r="BX55" i="3"/>
  <c r="BX56" i="3"/>
  <c r="BX58" i="3"/>
  <c r="BX50" i="3"/>
  <c r="BY52" i="3"/>
  <c r="BY54" i="3"/>
  <c r="CA9" i="3"/>
  <c r="CA53" i="3"/>
  <c r="BZ8" i="3"/>
  <c r="BZ3" i="3"/>
  <c r="BX51" i="3"/>
  <c r="BX57" i="3"/>
  <c r="BX1" i="3"/>
  <c r="BY55" i="3"/>
  <c r="BY56" i="3"/>
  <c r="BY58" i="3"/>
  <c r="BY50" i="3"/>
  <c r="BZ52" i="3"/>
  <c r="BZ54" i="3"/>
  <c r="CB9" i="3"/>
  <c r="CB53" i="3"/>
  <c r="CA8" i="3"/>
  <c r="CA3" i="3"/>
  <c r="BY51" i="3"/>
  <c r="BY57" i="3"/>
  <c r="BY1" i="3"/>
  <c r="BZ55" i="3"/>
  <c r="BZ56" i="3"/>
  <c r="BZ58" i="3"/>
  <c r="BZ50" i="3"/>
  <c r="CA52" i="3"/>
  <c r="CA54" i="3"/>
  <c r="CC9" i="3"/>
  <c r="CC53" i="3"/>
  <c r="CB8" i="3"/>
  <c r="CB3" i="3"/>
  <c r="BZ51" i="3"/>
  <c r="BZ57" i="3"/>
  <c r="CA55" i="3"/>
  <c r="CA56" i="3"/>
  <c r="CA58" i="3"/>
  <c r="CA50" i="3"/>
  <c r="CB52" i="3"/>
  <c r="CB54" i="3"/>
  <c r="CD9" i="3"/>
  <c r="CD53" i="3"/>
  <c r="CC8" i="3"/>
  <c r="CC3" i="3"/>
  <c r="BZ1" i="3"/>
  <c r="CA51" i="3"/>
  <c r="CA57" i="3"/>
  <c r="CA1" i="3"/>
  <c r="CB55" i="3"/>
  <c r="CB56" i="3"/>
  <c r="CB58" i="3"/>
  <c r="CB50" i="3"/>
  <c r="CC52" i="3"/>
  <c r="CC54" i="3"/>
  <c r="CE9" i="3"/>
  <c r="CE53" i="3"/>
  <c r="CD8" i="3"/>
  <c r="CD3" i="3"/>
  <c r="CB51" i="3"/>
  <c r="CB57" i="3"/>
  <c r="CB1" i="3"/>
  <c r="CC55" i="3"/>
  <c r="CC56" i="3"/>
  <c r="CC58" i="3"/>
  <c r="CC50" i="3"/>
  <c r="CD52" i="3"/>
  <c r="CD54" i="3"/>
  <c r="CF9" i="3"/>
  <c r="CF53" i="3"/>
  <c r="CE8" i="3"/>
  <c r="CE3" i="3"/>
  <c r="CC51" i="3"/>
  <c r="CC57" i="3"/>
  <c r="CC1" i="3"/>
  <c r="CD55" i="3"/>
  <c r="CD56" i="3"/>
  <c r="CD58" i="3"/>
  <c r="CD50" i="3"/>
  <c r="CD51" i="3"/>
  <c r="CE54" i="3"/>
  <c r="CG9" i="3"/>
  <c r="CG53" i="3"/>
  <c r="CF8" i="3"/>
  <c r="CF3" i="3"/>
  <c r="CE52" i="3"/>
  <c r="CD57" i="3"/>
  <c r="CD1" i="3"/>
  <c r="CE55" i="3"/>
  <c r="CE56" i="3"/>
  <c r="CE58" i="3"/>
  <c r="CE50" i="3"/>
  <c r="CE51" i="3"/>
  <c r="CF54" i="3"/>
  <c r="CH9" i="3"/>
  <c r="CH53" i="3"/>
  <c r="CG8" i="3"/>
  <c r="CG3" i="3"/>
  <c r="CF52" i="3"/>
  <c r="CE57" i="3"/>
  <c r="CE1" i="3"/>
  <c r="CF55" i="3"/>
  <c r="CF56" i="3"/>
  <c r="CF58" i="3"/>
  <c r="CF50" i="3"/>
  <c r="CG52" i="3"/>
  <c r="CG54" i="3"/>
  <c r="CI9" i="3"/>
  <c r="CI53" i="3"/>
  <c r="CH8" i="3"/>
  <c r="CH3" i="3"/>
  <c r="CF51" i="3"/>
  <c r="CF57" i="3"/>
  <c r="CG55" i="3"/>
  <c r="CG56" i="3"/>
  <c r="CG58" i="3"/>
  <c r="CG50" i="3"/>
  <c r="CH52" i="3"/>
  <c r="CH54" i="3"/>
  <c r="CJ9" i="3"/>
  <c r="CJ53" i="3"/>
  <c r="CI8" i="3"/>
  <c r="CI3" i="3"/>
  <c r="CG51" i="3"/>
  <c r="CG1" i="3"/>
  <c r="CF1" i="3"/>
  <c r="CH55" i="3"/>
  <c r="CH56" i="3"/>
  <c r="CH58" i="3"/>
  <c r="CH50" i="3"/>
  <c r="CH51" i="3"/>
  <c r="CI54" i="3"/>
  <c r="CK9" i="3"/>
  <c r="CK53" i="3"/>
  <c r="CJ8" i="3"/>
  <c r="CJ3" i="3"/>
  <c r="CG57" i="3"/>
  <c r="CI52" i="3"/>
  <c r="CH57" i="3"/>
  <c r="CH1" i="3"/>
  <c r="CI55" i="3"/>
  <c r="CI56" i="3"/>
  <c r="CI58" i="3"/>
  <c r="CI50" i="3"/>
  <c r="CJ52" i="3"/>
  <c r="CJ54" i="3"/>
  <c r="CL9" i="3"/>
  <c r="CL53" i="3"/>
  <c r="CK8" i="3"/>
  <c r="CK3" i="3"/>
  <c r="CI51" i="3"/>
  <c r="CI57" i="3"/>
  <c r="CI1" i="3"/>
  <c r="CJ55" i="3"/>
  <c r="CJ56" i="3"/>
  <c r="CJ58" i="3"/>
  <c r="CJ50" i="3"/>
  <c r="CK52" i="3"/>
  <c r="CK54" i="3"/>
  <c r="CM9" i="3"/>
  <c r="CM53" i="3"/>
  <c r="CL8" i="3"/>
  <c r="CL3" i="3"/>
  <c r="CJ51" i="3"/>
  <c r="CJ57" i="3"/>
  <c r="CK55" i="3"/>
  <c r="CK56" i="3"/>
  <c r="CK58" i="3"/>
  <c r="CK50" i="3"/>
  <c r="CL52" i="3"/>
  <c r="CL54" i="3"/>
  <c r="CN9" i="3"/>
  <c r="CN53" i="3"/>
  <c r="CM8" i="3"/>
  <c r="CM3" i="3"/>
  <c r="CJ1" i="3"/>
  <c r="CK51" i="3"/>
  <c r="CK57" i="3"/>
  <c r="CK1" i="3"/>
  <c r="CL55" i="3"/>
  <c r="CL56" i="3"/>
  <c r="CL58" i="3"/>
  <c r="CL50" i="3"/>
  <c r="CM52" i="3"/>
  <c r="CM54" i="3"/>
  <c r="CO9" i="3"/>
  <c r="CO53" i="3"/>
  <c r="CN8" i="3"/>
  <c r="CN3" i="3"/>
  <c r="CL51" i="3"/>
  <c r="CL57" i="3"/>
  <c r="CL1" i="3"/>
  <c r="CM55" i="3"/>
  <c r="CM56" i="3"/>
  <c r="CM58" i="3"/>
  <c r="CM50" i="3"/>
  <c r="CM51" i="3"/>
  <c r="CN54" i="3"/>
  <c r="CP9" i="3"/>
  <c r="CP53" i="3"/>
  <c r="CO8" i="3"/>
  <c r="CO3" i="3"/>
  <c r="CN52" i="3"/>
  <c r="CM57" i="3"/>
  <c r="CM1" i="3"/>
  <c r="CN55" i="3"/>
  <c r="CN56" i="3"/>
  <c r="CN58" i="3"/>
  <c r="CN50" i="3"/>
  <c r="CO52" i="3"/>
  <c r="CO54" i="3"/>
  <c r="CQ9" i="3"/>
  <c r="CQ53" i="3"/>
  <c r="CP8" i="3"/>
  <c r="CP3" i="3"/>
  <c r="CN51" i="3"/>
  <c r="CN57" i="3"/>
  <c r="CN1" i="3"/>
  <c r="CO55" i="3"/>
  <c r="CO56" i="3"/>
  <c r="CO58" i="3"/>
  <c r="CO50" i="3"/>
  <c r="CP52" i="3"/>
  <c r="CP54" i="3"/>
  <c r="CR9" i="3"/>
  <c r="CR53" i="3"/>
  <c r="CQ8" i="3"/>
  <c r="CQ3" i="3"/>
  <c r="CO51" i="3"/>
  <c r="CO57" i="3"/>
  <c r="CP55" i="3"/>
  <c r="CP56" i="3"/>
  <c r="CP58" i="3"/>
  <c r="CP50" i="3"/>
  <c r="CQ52" i="3"/>
  <c r="CQ54" i="3"/>
  <c r="CS9" i="3"/>
  <c r="CS53" i="3"/>
  <c r="CR8" i="3"/>
  <c r="CR3" i="3"/>
  <c r="CO1" i="3"/>
  <c r="CP51" i="3"/>
  <c r="CP57" i="3"/>
  <c r="CP1" i="3"/>
  <c r="CQ55" i="3"/>
  <c r="CQ56" i="3"/>
  <c r="CQ58" i="3"/>
  <c r="CQ50" i="3"/>
  <c r="CR52" i="3"/>
  <c r="CR54" i="3"/>
  <c r="CT9" i="3"/>
  <c r="CT53" i="3"/>
  <c r="CS8" i="3"/>
  <c r="CS3" i="3"/>
  <c r="CQ51" i="3"/>
  <c r="CQ57" i="3"/>
  <c r="CQ1" i="3"/>
  <c r="CR55" i="3"/>
  <c r="CR56" i="3"/>
  <c r="CR58" i="3"/>
  <c r="CR50" i="3"/>
  <c r="CR51" i="3"/>
  <c r="CS54" i="3"/>
  <c r="CU9" i="3"/>
  <c r="CU53" i="3"/>
  <c r="CT8" i="3"/>
  <c r="CT3" i="3"/>
  <c r="CS52" i="3"/>
  <c r="CR57" i="3"/>
  <c r="CR1" i="3"/>
  <c r="CS55" i="3"/>
  <c r="CS56" i="3"/>
  <c r="CS58" i="3"/>
  <c r="CS50" i="3"/>
  <c r="CT52" i="3"/>
  <c r="CT54" i="3"/>
  <c r="CV9" i="3"/>
  <c r="CV53" i="3"/>
  <c r="CU8" i="3"/>
  <c r="CU3" i="3"/>
  <c r="CS51" i="3"/>
  <c r="CS57" i="3"/>
  <c r="CS1" i="3"/>
  <c r="CT55" i="3"/>
  <c r="CT56" i="3"/>
  <c r="CT58" i="3"/>
  <c r="CT50" i="3"/>
  <c r="CU52" i="3"/>
  <c r="CU54" i="3"/>
  <c r="CW9" i="3"/>
  <c r="CW53" i="3"/>
  <c r="CV8" i="3"/>
  <c r="CV3" i="3"/>
  <c r="CT51" i="3"/>
  <c r="CT57" i="3"/>
  <c r="CT1" i="3"/>
  <c r="CU55" i="3"/>
  <c r="CU56" i="3"/>
  <c r="CU58" i="3"/>
  <c r="CU50" i="3"/>
  <c r="CV52" i="3"/>
  <c r="CV54" i="3"/>
  <c r="CX9" i="3"/>
  <c r="CX53" i="3"/>
  <c r="CW8" i="3"/>
  <c r="CW3" i="3"/>
  <c r="CU51" i="3"/>
  <c r="CU57" i="3"/>
  <c r="CU1" i="3"/>
  <c r="CV55" i="3"/>
  <c r="CV56" i="3"/>
  <c r="CV58" i="3"/>
  <c r="CV50" i="3"/>
  <c r="CW52" i="3"/>
  <c r="CW54" i="3"/>
  <c r="CY9" i="3"/>
  <c r="CY53" i="3"/>
  <c r="CX8" i="3"/>
  <c r="CX3" i="3"/>
  <c r="CV51" i="3"/>
  <c r="CV57" i="3"/>
  <c r="CV1" i="3"/>
  <c r="CW55" i="3"/>
  <c r="CW56" i="3"/>
  <c r="CW58" i="3"/>
  <c r="CW50" i="3"/>
  <c r="CX52" i="3"/>
  <c r="CX54" i="3"/>
  <c r="CZ9" i="3"/>
  <c r="CZ53" i="3"/>
  <c r="CY8" i="3"/>
  <c r="CY3" i="3"/>
  <c r="CW51" i="3"/>
  <c r="CW57" i="3"/>
  <c r="CW1" i="3"/>
  <c r="CX55" i="3"/>
  <c r="CX56" i="3"/>
  <c r="CX58" i="3"/>
  <c r="CX50" i="3"/>
  <c r="CY52" i="3"/>
  <c r="CY54" i="3"/>
  <c r="DA9" i="3"/>
  <c r="DA53" i="3"/>
  <c r="CZ8" i="3"/>
  <c r="CZ3" i="3"/>
  <c r="CX51" i="3"/>
  <c r="CX57" i="3"/>
  <c r="CY55" i="3"/>
  <c r="CY56" i="3"/>
  <c r="CY58" i="3"/>
  <c r="CY50" i="3"/>
  <c r="CZ52" i="3"/>
  <c r="CZ54" i="3"/>
  <c r="DB9" i="3"/>
  <c r="DB53" i="3"/>
  <c r="DA8" i="3"/>
  <c r="DA3" i="3"/>
  <c r="CY51" i="3"/>
  <c r="CY57" i="3"/>
  <c r="CX1" i="3"/>
  <c r="CZ55" i="3"/>
  <c r="CZ56" i="3"/>
  <c r="CZ58" i="3"/>
  <c r="CZ50" i="3"/>
  <c r="DA52" i="3"/>
  <c r="DA54" i="3"/>
  <c r="DC9" i="3"/>
  <c r="DC53" i="3"/>
  <c r="DB8" i="3"/>
  <c r="DB3" i="3"/>
  <c r="CY1" i="3"/>
  <c r="CZ51" i="3"/>
  <c r="CZ57" i="3"/>
  <c r="DA55" i="3"/>
  <c r="DA56" i="3"/>
  <c r="DA58" i="3"/>
  <c r="DA50" i="3"/>
  <c r="DB52" i="3"/>
  <c r="DB54" i="3"/>
  <c r="DD9" i="3"/>
  <c r="DD53" i="3"/>
  <c r="DC8" i="3"/>
  <c r="DC3" i="3"/>
  <c r="CZ1" i="3"/>
  <c r="DA51" i="3"/>
  <c r="DA57" i="3"/>
  <c r="DB55" i="3"/>
  <c r="DB56" i="3"/>
  <c r="DB58" i="3"/>
  <c r="DB50" i="3"/>
  <c r="DB51" i="3"/>
  <c r="DC54" i="3"/>
  <c r="DE9" i="3"/>
  <c r="DE53" i="3"/>
  <c r="DD8" i="3"/>
  <c r="DD3" i="3"/>
  <c r="DA1" i="3"/>
  <c r="DC52" i="3"/>
  <c r="DB57" i="3"/>
  <c r="DB1" i="3"/>
  <c r="DC55" i="3"/>
  <c r="DC56" i="3"/>
  <c r="DC58" i="3"/>
  <c r="DC50" i="3"/>
  <c r="DD52" i="3"/>
  <c r="DD54" i="3"/>
  <c r="DF9" i="3"/>
  <c r="DF53" i="3"/>
  <c r="DE8" i="3"/>
  <c r="DE3" i="3"/>
  <c r="DC51" i="3"/>
  <c r="DC57" i="3"/>
  <c r="DC1" i="3"/>
  <c r="DD55" i="3"/>
  <c r="DD56" i="3"/>
  <c r="DD58" i="3"/>
  <c r="DD50" i="3"/>
  <c r="DE52" i="3"/>
  <c r="DE54" i="3"/>
  <c r="DG9" i="3"/>
  <c r="DG53" i="3"/>
  <c r="DF8" i="3"/>
  <c r="DF3" i="3"/>
  <c r="DD51" i="3"/>
  <c r="DD57" i="3"/>
  <c r="DD1" i="3"/>
  <c r="DE55" i="3"/>
  <c r="DE56" i="3"/>
  <c r="DE58" i="3"/>
  <c r="DE50" i="3"/>
  <c r="DF52" i="3"/>
  <c r="DF54" i="3"/>
  <c r="DH9" i="3"/>
  <c r="DH53" i="3"/>
  <c r="DG8" i="3"/>
  <c r="DG3" i="3"/>
  <c r="DE51" i="3"/>
  <c r="DE57" i="3"/>
  <c r="DE1" i="3"/>
  <c r="DF55" i="3"/>
  <c r="DF56" i="3"/>
  <c r="DF58" i="3"/>
  <c r="DF50" i="3"/>
  <c r="DG52" i="3"/>
  <c r="DG54" i="3"/>
  <c r="DI9" i="3"/>
  <c r="DI53" i="3"/>
  <c r="DH8" i="3"/>
  <c r="DH3" i="3"/>
  <c r="DF51" i="3"/>
  <c r="DF57" i="3"/>
  <c r="DG55" i="3"/>
  <c r="DG56" i="3"/>
  <c r="DG58" i="3"/>
  <c r="DG50" i="3"/>
  <c r="DH52" i="3"/>
  <c r="DH54" i="3"/>
  <c r="DJ9" i="3"/>
  <c r="DJ53" i="3"/>
  <c r="DI8" i="3"/>
  <c r="DI3" i="3"/>
  <c r="DF1" i="3"/>
  <c r="DG51" i="3"/>
  <c r="DG57" i="3"/>
  <c r="DG1" i="3"/>
  <c r="DH55" i="3"/>
  <c r="DH56" i="3"/>
  <c r="DH58" i="3"/>
  <c r="DH50" i="3"/>
  <c r="DI52" i="3"/>
  <c r="DI54" i="3"/>
  <c r="DK9" i="3"/>
  <c r="DK53" i="3"/>
  <c r="DJ8" i="3"/>
  <c r="DJ3" i="3"/>
  <c r="DH51" i="3"/>
  <c r="DH57" i="3"/>
  <c r="DH1" i="3"/>
  <c r="DI55" i="3"/>
  <c r="DI56" i="3"/>
  <c r="DI58" i="3"/>
  <c r="DI50" i="3"/>
  <c r="DI51" i="3"/>
  <c r="DJ54" i="3"/>
  <c r="DL9" i="3"/>
  <c r="DL53" i="3"/>
  <c r="DK8" i="3"/>
  <c r="DK3" i="3"/>
  <c r="DJ52" i="3"/>
  <c r="DI57" i="3"/>
  <c r="DI1" i="3"/>
  <c r="DJ55" i="3"/>
  <c r="DJ56" i="3"/>
  <c r="DJ58" i="3"/>
  <c r="DJ50" i="3"/>
  <c r="DK52" i="3"/>
  <c r="DK54" i="3"/>
  <c r="DM9" i="3"/>
  <c r="DM53" i="3"/>
  <c r="DL8" i="3"/>
  <c r="DL3" i="3"/>
  <c r="DJ51" i="3"/>
  <c r="DJ57" i="3"/>
  <c r="DJ1" i="3"/>
  <c r="DK55" i="3"/>
  <c r="DK56" i="3"/>
  <c r="DK58" i="3"/>
  <c r="DK50" i="3"/>
  <c r="DL52" i="3"/>
  <c r="DL54" i="3"/>
  <c r="DN9" i="3"/>
  <c r="DN53" i="3"/>
  <c r="DM8" i="3"/>
  <c r="DM3" i="3"/>
  <c r="DK51" i="3"/>
  <c r="DK57" i="3"/>
  <c r="DK1" i="3"/>
  <c r="DL55" i="3"/>
  <c r="DL56" i="3"/>
  <c r="DL58" i="3"/>
  <c r="DL50" i="3"/>
  <c r="DM52" i="3"/>
  <c r="DM54" i="3"/>
  <c r="DO9" i="3"/>
  <c r="DO53" i="3"/>
  <c r="DN8" i="3"/>
  <c r="DN3" i="3"/>
  <c r="DL51" i="3"/>
  <c r="DL57" i="3"/>
  <c r="DL1" i="3"/>
  <c r="DM55" i="3"/>
  <c r="DM56" i="3"/>
  <c r="DM58" i="3"/>
  <c r="DM50" i="3"/>
  <c r="DN52" i="3"/>
  <c r="DN54" i="3"/>
  <c r="DP9" i="3"/>
  <c r="DP53" i="3"/>
  <c r="DO8" i="3"/>
  <c r="DO3" i="3"/>
  <c r="DM51" i="3"/>
  <c r="DM57" i="3"/>
  <c r="DM1" i="3"/>
  <c r="DN55" i="3"/>
  <c r="DN56" i="3"/>
  <c r="DN58" i="3"/>
  <c r="DN50" i="3"/>
  <c r="DO52" i="3"/>
  <c r="DO54" i="3"/>
  <c r="DQ9" i="3"/>
  <c r="DQ53" i="3"/>
  <c r="DP8" i="3"/>
  <c r="DP3" i="3"/>
  <c r="DN51" i="3"/>
  <c r="DN57" i="3"/>
  <c r="DN1" i="3"/>
  <c r="DO55" i="3"/>
  <c r="DO56" i="3"/>
  <c r="DO58" i="3"/>
  <c r="DO50" i="3"/>
  <c r="DP52" i="3"/>
  <c r="DP54" i="3"/>
  <c r="DR9" i="3"/>
  <c r="DR53" i="3"/>
  <c r="DQ8" i="3"/>
  <c r="DQ3" i="3"/>
  <c r="DO51" i="3"/>
  <c r="DO57" i="3"/>
  <c r="DP55" i="3"/>
  <c r="DP56" i="3"/>
  <c r="DP58" i="3"/>
  <c r="DP50" i="3"/>
  <c r="DQ52" i="3"/>
  <c r="DQ54" i="3"/>
  <c r="DS9" i="3"/>
  <c r="DS53" i="3"/>
  <c r="DR8" i="3"/>
  <c r="DR3" i="3"/>
  <c r="DP51" i="3"/>
  <c r="DP57" i="3"/>
  <c r="DO1" i="3"/>
  <c r="DP1" i="3"/>
  <c r="DQ55" i="3"/>
  <c r="DQ56" i="3"/>
  <c r="DQ58" i="3"/>
  <c r="DQ50" i="3"/>
  <c r="DR52" i="3"/>
  <c r="DR54" i="3"/>
  <c r="DT9" i="3"/>
  <c r="DT53" i="3"/>
  <c r="DS8" i="3"/>
  <c r="DS3" i="3"/>
  <c r="DQ51" i="3"/>
  <c r="DQ57" i="3"/>
  <c r="DR55" i="3"/>
  <c r="DR56" i="3"/>
  <c r="DR58" i="3"/>
  <c r="DR50" i="3"/>
  <c r="DS52" i="3"/>
  <c r="DS54" i="3"/>
  <c r="DU9" i="3"/>
  <c r="DU53" i="3"/>
  <c r="DT8" i="3"/>
  <c r="DT3" i="3"/>
  <c r="DQ1" i="3"/>
  <c r="DR51" i="3"/>
  <c r="DR57" i="3"/>
  <c r="DS55" i="3"/>
  <c r="DS56" i="3"/>
  <c r="DS58" i="3"/>
  <c r="DS50" i="3"/>
  <c r="DT52" i="3"/>
  <c r="DT54" i="3"/>
  <c r="DV9" i="3"/>
  <c r="DV53" i="3"/>
  <c r="DU8" i="3"/>
  <c r="DU3" i="3"/>
  <c r="DR1" i="3"/>
  <c r="DS51" i="3"/>
  <c r="DS57" i="3"/>
  <c r="DS1" i="3"/>
  <c r="DT55" i="3"/>
  <c r="DT56" i="3"/>
  <c r="DT58" i="3"/>
  <c r="DT50" i="3"/>
  <c r="DU52" i="3"/>
  <c r="DU54" i="3"/>
  <c r="DW9" i="3"/>
  <c r="DW53" i="3"/>
  <c r="DV8" i="3"/>
  <c r="DV3" i="3"/>
  <c r="DT51" i="3"/>
  <c r="DT57" i="3"/>
  <c r="DT1" i="3"/>
  <c r="DU55" i="3"/>
  <c r="DU56" i="3"/>
  <c r="DU58" i="3"/>
  <c r="DU50" i="3"/>
  <c r="DU51" i="3"/>
  <c r="DV54" i="3"/>
  <c r="DX9" i="3"/>
  <c r="DX53" i="3"/>
  <c r="DW8" i="3"/>
  <c r="DW3" i="3"/>
  <c r="DV52" i="3"/>
  <c r="DU57" i="3"/>
  <c r="DU1" i="3"/>
  <c r="DV55" i="3"/>
  <c r="DV56" i="3"/>
  <c r="DV58" i="3"/>
  <c r="DV50" i="3"/>
  <c r="DW52" i="3"/>
  <c r="DW54" i="3"/>
  <c r="DY9" i="3"/>
  <c r="DY53" i="3"/>
  <c r="DX8" i="3"/>
  <c r="DX3" i="3"/>
  <c r="DV51" i="3"/>
  <c r="DV57" i="3"/>
  <c r="DW55" i="3"/>
  <c r="DW56" i="3"/>
  <c r="DW58" i="3"/>
  <c r="DW50" i="3"/>
  <c r="DX52" i="3"/>
  <c r="DX54" i="3"/>
  <c r="DZ9" i="3"/>
  <c r="DZ53" i="3"/>
  <c r="DY8" i="3"/>
  <c r="DY3" i="3"/>
  <c r="DV1" i="3"/>
  <c r="DW51" i="3"/>
  <c r="DW57" i="3"/>
  <c r="DW1" i="3"/>
  <c r="DX55" i="3"/>
  <c r="DX56" i="3"/>
  <c r="DX58" i="3"/>
  <c r="DX50" i="3"/>
  <c r="DY52" i="3"/>
  <c r="DY54" i="3"/>
  <c r="EA9" i="3"/>
  <c r="EA53" i="3"/>
  <c r="DZ8" i="3"/>
  <c r="DZ3" i="3"/>
  <c r="DX51" i="3"/>
  <c r="DX57" i="3"/>
  <c r="DY55" i="3"/>
  <c r="DY56" i="3"/>
  <c r="DY58" i="3"/>
  <c r="DY50" i="3"/>
  <c r="DZ52" i="3"/>
  <c r="DZ54" i="3"/>
  <c r="EB9" i="3"/>
  <c r="EB53" i="3"/>
  <c r="EA8" i="3"/>
  <c r="EA3" i="3"/>
  <c r="DX1" i="3"/>
  <c r="DY51" i="3"/>
  <c r="DY57" i="3"/>
  <c r="DY1" i="3"/>
  <c r="DZ55" i="3"/>
  <c r="DZ56" i="3"/>
  <c r="DZ58" i="3"/>
  <c r="DZ50" i="3"/>
  <c r="DZ51" i="3"/>
  <c r="EA54" i="3"/>
  <c r="EC9" i="3"/>
  <c r="EC53" i="3"/>
  <c r="EB8" i="3"/>
  <c r="EB3" i="3"/>
  <c r="EA52" i="3"/>
  <c r="DZ57" i="3"/>
  <c r="DZ1" i="3"/>
  <c r="EA55" i="3"/>
  <c r="EA56" i="3"/>
  <c r="EA58" i="3"/>
  <c r="EA50" i="3"/>
  <c r="EB52" i="3"/>
  <c r="EB54" i="3"/>
  <c r="ED9" i="3"/>
  <c r="ED53" i="3"/>
  <c r="EC8" i="3"/>
  <c r="EC3" i="3"/>
  <c r="EA51" i="3"/>
  <c r="EA57" i="3"/>
  <c r="EA1" i="3"/>
  <c r="EB55" i="3"/>
  <c r="EB56" i="3"/>
  <c r="EB58" i="3"/>
  <c r="EB50" i="3"/>
  <c r="EC52" i="3"/>
  <c r="EC54" i="3"/>
  <c r="EE9" i="3"/>
  <c r="EE53" i="3"/>
  <c r="ED8" i="3"/>
  <c r="ED3" i="3"/>
  <c r="EB51" i="3"/>
  <c r="EB57" i="3"/>
  <c r="EB1" i="3"/>
  <c r="EC55" i="3"/>
  <c r="EC56" i="3"/>
  <c r="EC58" i="3"/>
  <c r="EC50" i="3"/>
  <c r="ED52" i="3"/>
  <c r="ED54" i="3"/>
  <c r="EF9" i="3"/>
  <c r="EF53" i="3"/>
  <c r="EE8" i="3"/>
  <c r="EE3" i="3"/>
  <c r="EC51" i="3"/>
  <c r="EC57" i="3"/>
  <c r="EC1" i="3"/>
  <c r="ED55" i="3"/>
  <c r="ED56" i="3"/>
  <c r="ED58" i="3"/>
  <c r="ED50" i="3"/>
  <c r="EE52" i="3"/>
  <c r="EE54" i="3"/>
  <c r="EG9" i="3"/>
  <c r="EG53" i="3"/>
  <c r="EF8" i="3"/>
  <c r="EF3" i="3"/>
  <c r="ED51" i="3"/>
  <c r="ED57" i="3"/>
  <c r="ED1" i="3"/>
  <c r="EE55" i="3"/>
  <c r="EE56" i="3"/>
  <c r="EE58" i="3"/>
  <c r="EE50" i="3"/>
  <c r="EF52" i="3"/>
  <c r="EF54" i="3"/>
  <c r="EH9" i="3"/>
  <c r="EH53" i="3"/>
  <c r="EG8" i="3"/>
  <c r="EG3" i="3"/>
  <c r="EE51" i="3"/>
  <c r="EE57" i="3"/>
  <c r="EF55" i="3"/>
  <c r="EF56" i="3"/>
  <c r="EF58" i="3"/>
  <c r="EF50" i="3"/>
  <c r="EF51" i="3"/>
  <c r="EG54" i="3"/>
  <c r="EI9" i="3"/>
  <c r="EI53" i="3"/>
  <c r="EH8" i="3"/>
  <c r="EH3" i="3"/>
  <c r="EE1" i="3"/>
  <c r="EG52" i="3"/>
  <c r="EF57" i="3"/>
  <c r="EF1" i="3"/>
  <c r="EG55" i="3"/>
  <c r="EG56" i="3"/>
  <c r="EG58" i="3"/>
  <c r="EG50" i="3"/>
  <c r="EH52" i="3"/>
  <c r="EH54" i="3"/>
  <c r="EJ9" i="3"/>
  <c r="EJ53" i="3"/>
  <c r="EI8" i="3"/>
  <c r="EI3" i="3"/>
  <c r="EG51" i="3"/>
  <c r="EG57" i="3"/>
  <c r="EG1" i="3"/>
  <c r="EH55" i="3"/>
  <c r="EH56" i="3"/>
  <c r="EH58" i="3"/>
  <c r="EH50" i="3"/>
  <c r="EI52" i="3"/>
  <c r="EI54" i="3"/>
  <c r="EK9" i="3"/>
  <c r="EK53" i="3"/>
  <c r="EJ8" i="3"/>
  <c r="EJ3" i="3"/>
  <c r="EH51" i="3"/>
  <c r="EH57" i="3"/>
  <c r="EH1" i="3"/>
  <c r="EI55" i="3"/>
  <c r="EI56" i="3"/>
  <c r="EI58" i="3"/>
  <c r="EI50" i="3"/>
  <c r="EJ52" i="3"/>
  <c r="EJ54" i="3"/>
  <c r="EL9" i="3"/>
  <c r="EL53" i="3"/>
  <c r="EK8" i="3"/>
  <c r="EK3" i="3"/>
  <c r="EI51" i="3"/>
  <c r="EI57" i="3"/>
  <c r="EI1" i="3"/>
  <c r="EJ55" i="3"/>
  <c r="EJ56" i="3"/>
  <c r="EJ58" i="3"/>
  <c r="EJ50" i="3"/>
  <c r="EK52" i="3"/>
  <c r="EK54" i="3"/>
  <c r="EM9" i="3"/>
  <c r="EM53" i="3"/>
  <c r="EL8" i="3"/>
  <c r="EL3" i="3"/>
  <c r="EJ51" i="3"/>
  <c r="EJ57" i="3"/>
  <c r="EK55" i="3"/>
  <c r="EK56" i="3"/>
  <c r="EK58" i="3"/>
  <c r="EK50" i="3"/>
  <c r="EK51" i="3"/>
  <c r="EL54" i="3"/>
  <c r="EN9" i="3"/>
  <c r="EN53" i="3"/>
  <c r="EM8" i="3"/>
  <c r="EM3" i="3"/>
  <c r="EJ1" i="3"/>
  <c r="EL52" i="3"/>
  <c r="EK57" i="3"/>
  <c r="EK1" i="3"/>
  <c r="EL55" i="3"/>
  <c r="EL56" i="3"/>
  <c r="EL58" i="3"/>
  <c r="EL50" i="3"/>
  <c r="EM52" i="3"/>
  <c r="EM54" i="3"/>
  <c r="EO9" i="3"/>
  <c r="EO53" i="3"/>
  <c r="EN8" i="3"/>
  <c r="EN3" i="3"/>
  <c r="EL51" i="3"/>
  <c r="EL57" i="3"/>
  <c r="EL1" i="3"/>
  <c r="EM55" i="3"/>
  <c r="EM56" i="3"/>
  <c r="EM58" i="3"/>
  <c r="EM50" i="3"/>
  <c r="EN52" i="3"/>
  <c r="EN54" i="3"/>
  <c r="EP9" i="3"/>
  <c r="EP53" i="3"/>
  <c r="EO8" i="3"/>
  <c r="EO3" i="3"/>
  <c r="EM51" i="3"/>
  <c r="EM57" i="3"/>
  <c r="EM1" i="3"/>
  <c r="EN55" i="3"/>
  <c r="EN56" i="3"/>
  <c r="EN58" i="3"/>
  <c r="EN50" i="3"/>
  <c r="EO52" i="3"/>
  <c r="EO54" i="3"/>
  <c r="EQ9" i="3"/>
  <c r="EQ53" i="3"/>
  <c r="EP8" i="3"/>
  <c r="EP3" i="3"/>
  <c r="EN51" i="3"/>
  <c r="EN57" i="3"/>
  <c r="EO55" i="3"/>
  <c r="EO56" i="3"/>
  <c r="EO58" i="3"/>
  <c r="EO50" i="3"/>
  <c r="EP52" i="3"/>
  <c r="EP54" i="3"/>
  <c r="ER9" i="3"/>
  <c r="ER53" i="3"/>
  <c r="EQ8" i="3"/>
  <c r="EQ3" i="3"/>
  <c r="EO51" i="3"/>
  <c r="EN1" i="3"/>
  <c r="EO57" i="3"/>
  <c r="EO1" i="3"/>
  <c r="EP55" i="3"/>
  <c r="EP56" i="3"/>
  <c r="EP58" i="3"/>
  <c r="EP50" i="3"/>
  <c r="EQ52" i="3"/>
  <c r="EQ54" i="3"/>
  <c r="ES9" i="3"/>
  <c r="ES53" i="3"/>
  <c r="ER8" i="3"/>
  <c r="ER3" i="3"/>
  <c r="EP51" i="3"/>
  <c r="EP57" i="3"/>
  <c r="EP1" i="3"/>
  <c r="EQ55" i="3"/>
  <c r="EQ56" i="3"/>
  <c r="EQ58" i="3"/>
  <c r="EQ50" i="3"/>
  <c r="ER52" i="3"/>
  <c r="ER54" i="3"/>
  <c r="ET9" i="3"/>
  <c r="ET53" i="3"/>
  <c r="ES8" i="3"/>
  <c r="ES3" i="3"/>
  <c r="EQ51" i="3"/>
  <c r="EQ57" i="3"/>
  <c r="EQ1" i="3"/>
  <c r="ER55" i="3"/>
  <c r="ER56" i="3"/>
  <c r="ER58" i="3"/>
  <c r="ER50" i="3"/>
  <c r="ES52" i="3"/>
  <c r="ES54" i="3"/>
  <c r="EU9" i="3"/>
  <c r="EU53" i="3"/>
  <c r="ET8" i="3"/>
  <c r="ET3" i="3"/>
  <c r="ER51" i="3"/>
  <c r="ER57" i="3"/>
  <c r="ER1" i="3"/>
  <c r="ES55" i="3"/>
  <c r="ES56" i="3"/>
  <c r="ES58" i="3"/>
  <c r="ES50" i="3"/>
  <c r="ES51" i="3"/>
  <c r="ET54" i="3"/>
  <c r="EV9" i="3"/>
  <c r="EV53" i="3"/>
  <c r="EU8" i="3"/>
  <c r="EU3" i="3"/>
  <c r="ET52" i="3"/>
  <c r="ES57" i="3"/>
  <c r="ES1" i="3"/>
  <c r="ET55" i="3"/>
  <c r="ET56" i="3"/>
  <c r="ET58" i="3"/>
  <c r="ET50" i="3"/>
  <c r="EU52" i="3"/>
  <c r="EU54" i="3"/>
  <c r="EW9" i="3"/>
  <c r="EW53" i="3"/>
  <c r="EV8" i="3"/>
  <c r="EV3" i="3"/>
  <c r="ET51" i="3"/>
  <c r="ET57" i="3"/>
  <c r="EU55" i="3"/>
  <c r="EU56" i="3"/>
  <c r="EU58" i="3"/>
  <c r="EU50" i="3"/>
  <c r="EV52" i="3"/>
  <c r="EV54" i="3"/>
  <c r="EX9" i="3"/>
  <c r="EX53" i="3"/>
  <c r="EW8" i="3"/>
  <c r="EW3" i="3"/>
  <c r="ET1" i="3"/>
  <c r="EU51" i="3"/>
  <c r="EU57" i="3"/>
  <c r="EV55" i="3"/>
  <c r="EV56" i="3"/>
  <c r="EV58" i="3"/>
  <c r="EV50" i="3"/>
  <c r="EW52" i="3"/>
  <c r="EW54" i="3"/>
  <c r="EY9" i="3"/>
  <c r="EY53" i="3"/>
  <c r="EX8" i="3"/>
  <c r="EX3" i="3"/>
  <c r="EU1" i="3"/>
  <c r="EV51" i="3"/>
  <c r="EV57" i="3"/>
  <c r="EV1" i="3"/>
  <c r="EW55" i="3"/>
  <c r="EW56" i="3"/>
  <c r="EW58" i="3"/>
  <c r="EW50" i="3"/>
  <c r="EX52" i="3"/>
  <c r="EX54" i="3"/>
  <c r="EZ9" i="3"/>
  <c r="EZ53" i="3"/>
  <c r="EY8" i="3"/>
  <c r="EY3" i="3"/>
  <c r="EW51" i="3"/>
  <c r="EW57" i="3"/>
  <c r="EW1" i="3"/>
  <c r="EX55" i="3"/>
  <c r="EX56" i="3"/>
  <c r="EX58" i="3"/>
  <c r="EX50" i="3"/>
  <c r="EY52" i="3"/>
  <c r="EY54" i="3"/>
  <c r="FA9" i="3"/>
  <c r="FA53" i="3"/>
  <c r="EZ8" i="3"/>
  <c r="EZ3" i="3"/>
  <c r="EX51" i="3"/>
  <c r="EX57" i="3"/>
  <c r="EY55" i="3"/>
  <c r="EY56" i="3"/>
  <c r="EY58" i="3"/>
  <c r="EY50" i="3"/>
  <c r="EZ52" i="3"/>
  <c r="EZ54" i="3"/>
  <c r="FB9" i="3"/>
  <c r="FB53" i="3"/>
  <c r="FA8" i="3"/>
  <c r="FA3" i="3"/>
  <c r="EY51" i="3"/>
  <c r="EX1" i="3"/>
  <c r="EY57" i="3"/>
  <c r="EY1" i="3"/>
  <c r="EZ55" i="3"/>
  <c r="EZ56" i="3"/>
  <c r="EZ58" i="3"/>
  <c r="EZ50" i="3"/>
  <c r="FA52" i="3"/>
  <c r="FA54" i="3"/>
  <c r="FC9" i="3"/>
  <c r="FC53" i="3"/>
  <c r="FB8" i="3"/>
  <c r="FB3" i="3"/>
  <c r="EZ51" i="3"/>
  <c r="EZ57" i="3"/>
  <c r="EZ1" i="3"/>
  <c r="FA55" i="3"/>
  <c r="FA56" i="3"/>
  <c r="FA58" i="3"/>
  <c r="FA50" i="3"/>
  <c r="FB52" i="3"/>
  <c r="FB54" i="3"/>
  <c r="FD9" i="3"/>
  <c r="FD53" i="3"/>
  <c r="FC8" i="3"/>
  <c r="FC3" i="3"/>
  <c r="FA51" i="3"/>
  <c r="FA57" i="3"/>
  <c r="FA1" i="3"/>
  <c r="FB55" i="3"/>
  <c r="FB56" i="3"/>
  <c r="FB58" i="3"/>
  <c r="FB50" i="3"/>
  <c r="FC52" i="3"/>
  <c r="FC54" i="3"/>
  <c r="FE9" i="3"/>
  <c r="FE53" i="3"/>
  <c r="FD8" i="3"/>
  <c r="FD3" i="3"/>
  <c r="FB51" i="3"/>
  <c r="FB57" i="3"/>
  <c r="FC55" i="3"/>
  <c r="FC56" i="3"/>
  <c r="FC58" i="3"/>
  <c r="FC50" i="3"/>
  <c r="FC51" i="3"/>
  <c r="FD54" i="3"/>
  <c r="FF9" i="3"/>
  <c r="FF53" i="3"/>
  <c r="FE8" i="3"/>
  <c r="FE3" i="3"/>
  <c r="FB1" i="3"/>
  <c r="FD52" i="3"/>
  <c r="FC57" i="3"/>
  <c r="FC1" i="3"/>
  <c r="FD55" i="3"/>
  <c r="FD56" i="3"/>
  <c r="FD58" i="3"/>
  <c r="FD50" i="3"/>
  <c r="FE52" i="3"/>
  <c r="FE54" i="3"/>
  <c r="FG9" i="3"/>
  <c r="FG53" i="3"/>
  <c r="FF8" i="3"/>
  <c r="FF3" i="3"/>
  <c r="FD51" i="3"/>
  <c r="FD57" i="3"/>
  <c r="FE55" i="3"/>
  <c r="FE56" i="3"/>
  <c r="FE58" i="3"/>
  <c r="FE50" i="3"/>
  <c r="FF52" i="3"/>
  <c r="FF54" i="3"/>
  <c r="FH9" i="3"/>
  <c r="FH53" i="3"/>
  <c r="FG8" i="3"/>
  <c r="FG3" i="3"/>
  <c r="FD1" i="3"/>
  <c r="FE51" i="3"/>
  <c r="FE57" i="3"/>
  <c r="FF55" i="3"/>
  <c r="FF56" i="3"/>
  <c r="FF58" i="3"/>
  <c r="FF50" i="3"/>
  <c r="FG52" i="3"/>
  <c r="FG54" i="3"/>
  <c r="FI9" i="3"/>
  <c r="FI53" i="3"/>
  <c r="FH8" i="3"/>
  <c r="FH3" i="3"/>
  <c r="FE1" i="3"/>
  <c r="FF51" i="3"/>
  <c r="FF57" i="3"/>
  <c r="FF1" i="3"/>
  <c r="FG55" i="3"/>
  <c r="FG56" i="3"/>
  <c r="FG58" i="3"/>
  <c r="FG50" i="3"/>
  <c r="FH52" i="3"/>
  <c r="FH54" i="3"/>
  <c r="FJ9" i="3"/>
  <c r="FJ53" i="3"/>
  <c r="FI8" i="3"/>
  <c r="FI3" i="3"/>
  <c r="FG51" i="3"/>
  <c r="FG57" i="3"/>
  <c r="FH55" i="3"/>
  <c r="FH56" i="3"/>
  <c r="FH58" i="3"/>
  <c r="FH50" i="3"/>
  <c r="FH51" i="3"/>
  <c r="FI54" i="3"/>
  <c r="FK9" i="3"/>
  <c r="FK53" i="3"/>
  <c r="FJ8" i="3"/>
  <c r="FJ3" i="3"/>
  <c r="FG1" i="3"/>
  <c r="FI52" i="3"/>
  <c r="FH57" i="3"/>
  <c r="FH1" i="3"/>
  <c r="FI55" i="3"/>
  <c r="FI56" i="3"/>
  <c r="FI58" i="3"/>
  <c r="FI50" i="3"/>
  <c r="FJ52" i="3"/>
  <c r="FJ54" i="3"/>
  <c r="FL9" i="3"/>
  <c r="FL53" i="3"/>
  <c r="FK8" i="3"/>
  <c r="FK3" i="3"/>
  <c r="FI51" i="3"/>
  <c r="FI57" i="3"/>
  <c r="FI1" i="3"/>
  <c r="FJ55" i="3"/>
  <c r="FJ56" i="3"/>
  <c r="FJ58" i="3"/>
  <c r="FJ50" i="3"/>
  <c r="FJ51" i="3"/>
  <c r="FK54" i="3"/>
  <c r="FM9" i="3"/>
  <c r="FM53" i="3"/>
  <c r="FL8" i="3"/>
  <c r="FL3" i="3"/>
  <c r="FK52" i="3"/>
  <c r="FJ57" i="3"/>
  <c r="FJ1" i="3"/>
  <c r="FK55" i="3"/>
  <c r="FK56" i="3"/>
  <c r="FK58" i="3"/>
  <c r="FK50" i="3"/>
  <c r="FL52" i="3"/>
  <c r="FL54" i="3"/>
  <c r="FN9" i="3"/>
  <c r="FN53" i="3"/>
  <c r="FM8" i="3"/>
  <c r="FM3" i="3"/>
  <c r="FK51" i="3"/>
  <c r="FK57" i="3"/>
  <c r="FK1" i="3"/>
  <c r="FL55" i="3"/>
  <c r="FL56" i="3"/>
  <c r="FL58" i="3"/>
  <c r="FL50" i="3"/>
  <c r="FL51" i="3"/>
  <c r="FM54" i="3"/>
  <c r="FO9" i="3"/>
  <c r="FO53" i="3"/>
  <c r="FN8" i="3"/>
  <c r="FN3" i="3"/>
  <c r="FM52" i="3"/>
  <c r="FL57" i="3"/>
  <c r="FL1" i="3"/>
  <c r="FM55" i="3"/>
  <c r="FM56" i="3"/>
  <c r="FM58" i="3"/>
  <c r="FM50" i="3"/>
  <c r="FN52" i="3"/>
  <c r="FN54" i="3"/>
  <c r="FP9" i="3"/>
  <c r="FP53" i="3"/>
  <c r="FO8" i="3"/>
  <c r="FO3" i="3"/>
  <c r="FM51" i="3"/>
  <c r="FM57" i="3"/>
  <c r="FN55" i="3"/>
  <c r="FN56" i="3"/>
  <c r="FN58" i="3"/>
  <c r="FN50" i="3"/>
  <c r="FN51" i="3"/>
  <c r="FO54" i="3"/>
  <c r="FQ9" i="3"/>
  <c r="FQ53" i="3"/>
  <c r="FP8" i="3"/>
  <c r="FP3" i="3"/>
  <c r="FM1" i="3"/>
  <c r="FO52" i="3"/>
  <c r="FN57" i="3"/>
  <c r="FN1" i="3"/>
  <c r="FO55" i="3"/>
  <c r="FO56" i="3"/>
  <c r="FO58" i="3"/>
  <c r="FO50" i="3"/>
  <c r="FP52" i="3"/>
  <c r="FP54" i="3"/>
  <c r="FR9" i="3"/>
  <c r="FR53" i="3"/>
  <c r="FQ8" i="3"/>
  <c r="FQ3" i="3"/>
  <c r="FO51" i="3"/>
  <c r="FO57" i="3"/>
  <c r="FO1" i="3"/>
  <c r="FP55" i="3"/>
  <c r="FP56" i="3"/>
  <c r="FP58" i="3"/>
  <c r="FP50" i="3"/>
  <c r="FQ52" i="3"/>
  <c r="FQ54" i="3"/>
  <c r="FS9" i="3"/>
  <c r="FS53" i="3"/>
  <c r="FR8" i="3"/>
  <c r="FR3" i="3"/>
  <c r="FP51" i="3"/>
  <c r="FP57" i="3"/>
  <c r="FQ55" i="3"/>
  <c r="FQ56" i="3"/>
  <c r="FQ58" i="3"/>
  <c r="FQ50" i="3"/>
  <c r="FR52" i="3"/>
  <c r="FR54" i="3"/>
  <c r="FT9" i="3"/>
  <c r="FT53" i="3"/>
  <c r="FS8" i="3"/>
  <c r="FS3" i="3"/>
  <c r="FQ51" i="3"/>
  <c r="FP1" i="3"/>
  <c r="FQ57" i="3"/>
  <c r="FQ1" i="3"/>
  <c r="FR55" i="3"/>
  <c r="FR56" i="3"/>
  <c r="FR58" i="3"/>
  <c r="FR50" i="3"/>
  <c r="FS52" i="3"/>
  <c r="FS54" i="3"/>
  <c r="FU9" i="3"/>
  <c r="FU53" i="3"/>
  <c r="FT8" i="3"/>
  <c r="FT3" i="3"/>
  <c r="FR51" i="3"/>
  <c r="FR57" i="3"/>
  <c r="FS55" i="3"/>
  <c r="FS56" i="3"/>
  <c r="FS58" i="3"/>
  <c r="FS50" i="3"/>
  <c r="FS51" i="3"/>
  <c r="FT54" i="3"/>
  <c r="FV9" i="3"/>
  <c r="FV53" i="3"/>
  <c r="FU8" i="3"/>
  <c r="FU3" i="3"/>
  <c r="FR1" i="3"/>
  <c r="FT52" i="3"/>
  <c r="FS57" i="3"/>
  <c r="FS1" i="3"/>
  <c r="FT55" i="3"/>
  <c r="FT56" i="3"/>
  <c r="FT58" i="3"/>
  <c r="FT50" i="3"/>
  <c r="FU52" i="3"/>
  <c r="FU54" i="3"/>
  <c r="FW9" i="3"/>
  <c r="FW53" i="3"/>
  <c r="FV8" i="3"/>
  <c r="FV3" i="3"/>
  <c r="FT51" i="3"/>
  <c r="FT57" i="3"/>
  <c r="FU55" i="3"/>
  <c r="FU56" i="3"/>
  <c r="FU58" i="3"/>
  <c r="FU50" i="3"/>
  <c r="FV52" i="3"/>
  <c r="FV54" i="3"/>
  <c r="FX9" i="3"/>
  <c r="FX53" i="3"/>
  <c r="FW8" i="3"/>
  <c r="FW3" i="3"/>
  <c r="FT1" i="3"/>
  <c r="FU51" i="3"/>
  <c r="FU57" i="3"/>
  <c r="FU1" i="3"/>
  <c r="FV55" i="3"/>
  <c r="FV56" i="3"/>
  <c r="FV58" i="3"/>
  <c r="FV50" i="3"/>
  <c r="FW52" i="3"/>
  <c r="FW54" i="3"/>
  <c r="FY9" i="3"/>
  <c r="FY53" i="3"/>
  <c r="FX8" i="3"/>
  <c r="FX3" i="3"/>
  <c r="FV51" i="3"/>
  <c r="FV57" i="3"/>
  <c r="FV1" i="3"/>
  <c r="FW55" i="3"/>
  <c r="FW56" i="3"/>
  <c r="FW58" i="3"/>
  <c r="FW50" i="3"/>
  <c r="FX52" i="3"/>
  <c r="FX54" i="3"/>
  <c r="FZ9" i="3"/>
  <c r="FZ53" i="3"/>
  <c r="FY8" i="3"/>
  <c r="FY3" i="3"/>
  <c r="FW51" i="3"/>
  <c r="FW57" i="3"/>
  <c r="FW1" i="3"/>
  <c r="FX55" i="3"/>
  <c r="FX56" i="3"/>
  <c r="FX58" i="3"/>
  <c r="FX50" i="3"/>
  <c r="FX51" i="3"/>
  <c r="FY54" i="3"/>
  <c r="GA9" i="3"/>
  <c r="GA53" i="3"/>
  <c r="FZ8" i="3"/>
  <c r="FZ3" i="3"/>
  <c r="FY52" i="3"/>
  <c r="FX57" i="3"/>
  <c r="FX1" i="3"/>
  <c r="FY55" i="3"/>
  <c r="FY56" i="3"/>
  <c r="FY58" i="3"/>
  <c r="FY50" i="3"/>
  <c r="FZ52" i="3"/>
  <c r="FZ54" i="3"/>
  <c r="GB9" i="3"/>
  <c r="GB53" i="3"/>
  <c r="GA8" i="3"/>
  <c r="GA3" i="3"/>
  <c r="FY51" i="3"/>
  <c r="FY57" i="3"/>
  <c r="FZ55" i="3"/>
  <c r="FZ56" i="3"/>
  <c r="FZ58" i="3"/>
  <c r="FZ50" i="3"/>
  <c r="GA52" i="3"/>
  <c r="GA54" i="3"/>
  <c r="GC9" i="3"/>
  <c r="GC53" i="3"/>
  <c r="GB8" i="3"/>
  <c r="GB3" i="3"/>
  <c r="FZ51" i="3"/>
  <c r="FZ57" i="3"/>
  <c r="FY1" i="3"/>
  <c r="FZ1" i="3"/>
  <c r="GA55" i="3"/>
  <c r="GA56" i="3"/>
  <c r="GA58" i="3"/>
  <c r="GA50" i="3"/>
  <c r="GA51" i="3"/>
  <c r="GB54" i="3"/>
  <c r="GD9" i="3"/>
  <c r="GD53" i="3"/>
  <c r="GC8" i="3"/>
  <c r="GC3" i="3"/>
  <c r="GB52" i="3"/>
  <c r="GA57" i="3"/>
  <c r="GA1" i="3"/>
  <c r="GB55" i="3"/>
  <c r="GB56" i="3"/>
  <c r="GB58" i="3"/>
  <c r="GB50" i="3"/>
  <c r="GB51" i="3"/>
  <c r="GC54" i="3"/>
  <c r="GE9" i="3"/>
  <c r="GE53" i="3"/>
  <c r="GD8" i="3"/>
  <c r="GD3" i="3"/>
  <c r="GC52" i="3"/>
  <c r="GB57" i="3"/>
  <c r="GB1" i="3"/>
  <c r="GC55" i="3"/>
  <c r="GC56" i="3"/>
  <c r="GC58" i="3"/>
  <c r="GC50" i="3"/>
  <c r="GD52" i="3"/>
  <c r="GD54" i="3"/>
  <c r="GF9" i="3"/>
  <c r="GF53" i="3"/>
  <c r="GE8" i="3"/>
  <c r="GE3" i="3"/>
  <c r="GC51" i="3"/>
  <c r="GC57" i="3"/>
  <c r="GD55" i="3"/>
  <c r="GD56" i="3"/>
  <c r="GD58" i="3"/>
  <c r="GD50" i="3"/>
  <c r="GD51" i="3"/>
  <c r="GE54" i="3"/>
  <c r="GG9" i="3"/>
  <c r="GG53" i="3"/>
  <c r="GF8" i="3"/>
  <c r="GF3" i="3"/>
  <c r="GC1" i="3"/>
  <c r="GE52" i="3"/>
  <c r="GD57" i="3"/>
  <c r="GD1" i="3"/>
  <c r="GE55" i="3"/>
  <c r="GE56" i="3"/>
  <c r="GE58" i="3"/>
  <c r="GE50" i="3"/>
  <c r="GF52" i="3"/>
  <c r="GF54" i="3"/>
  <c r="GH9" i="3"/>
  <c r="GH53" i="3"/>
  <c r="GG8" i="3"/>
  <c r="GG3" i="3"/>
  <c r="GE51" i="3"/>
  <c r="GE57" i="3"/>
  <c r="GE1" i="3"/>
  <c r="GF55" i="3"/>
  <c r="GF56" i="3"/>
  <c r="GF58" i="3"/>
  <c r="GF50" i="3"/>
  <c r="GG52" i="3"/>
  <c r="GG54" i="3"/>
  <c r="GI9" i="3"/>
  <c r="GI53" i="3"/>
  <c r="GH8" i="3"/>
  <c r="GH3" i="3"/>
  <c r="GF51" i="3"/>
  <c r="GF57" i="3"/>
  <c r="GF1" i="3"/>
  <c r="GG55" i="3"/>
  <c r="GG56" i="3"/>
  <c r="GG58" i="3"/>
  <c r="GG50" i="3"/>
  <c r="GH52" i="3"/>
  <c r="GH54" i="3"/>
  <c r="GJ9" i="3"/>
  <c r="GJ53" i="3"/>
  <c r="GI8" i="3"/>
  <c r="GI3" i="3"/>
  <c r="GG51" i="3"/>
  <c r="GG57" i="3"/>
  <c r="GG1" i="3"/>
  <c r="GH55" i="3"/>
  <c r="GH56" i="3"/>
  <c r="GH58" i="3"/>
  <c r="GH50" i="3"/>
  <c r="GI52" i="3"/>
  <c r="GI54" i="3"/>
  <c r="GK9" i="3"/>
  <c r="GK53" i="3"/>
  <c r="GJ8" i="3"/>
  <c r="GJ3" i="3"/>
  <c r="GH51" i="3"/>
  <c r="GH57" i="3"/>
  <c r="GH1" i="3"/>
  <c r="GI55" i="3"/>
  <c r="GI56" i="3"/>
  <c r="GI58" i="3"/>
  <c r="GI50" i="3"/>
  <c r="GJ52" i="3"/>
  <c r="GJ54" i="3"/>
  <c r="GL9" i="3"/>
  <c r="GL53" i="3"/>
  <c r="GK8" i="3"/>
  <c r="GK3" i="3"/>
  <c r="GI51" i="3"/>
  <c r="GI57" i="3"/>
  <c r="GI1" i="3"/>
  <c r="GJ55" i="3"/>
  <c r="GJ56" i="3"/>
  <c r="GJ58" i="3"/>
  <c r="GJ50" i="3"/>
  <c r="GK52" i="3"/>
  <c r="GK54" i="3"/>
  <c r="GM9" i="3"/>
  <c r="GM53" i="3"/>
  <c r="GL8" i="3"/>
  <c r="GL3" i="3"/>
  <c r="GJ51" i="3"/>
  <c r="GJ57" i="3"/>
  <c r="GK55" i="3"/>
  <c r="GK56" i="3"/>
  <c r="GK58" i="3"/>
  <c r="GK50" i="3"/>
  <c r="GK51" i="3"/>
  <c r="GL54" i="3"/>
  <c r="GN9" i="3"/>
  <c r="GN53" i="3"/>
  <c r="GM8" i="3"/>
  <c r="GM3" i="3"/>
  <c r="GJ1" i="3"/>
  <c r="GL52" i="3"/>
  <c r="GK57" i="3"/>
  <c r="GK1" i="3"/>
  <c r="GL55" i="3"/>
  <c r="GL56" i="3"/>
  <c r="GL58" i="3"/>
  <c r="GL50" i="3"/>
  <c r="GM52" i="3"/>
  <c r="GM54" i="3"/>
  <c r="GO9" i="3"/>
  <c r="GO53" i="3"/>
  <c r="GN8" i="3"/>
  <c r="GN3" i="3"/>
  <c r="GL51" i="3"/>
  <c r="GL57" i="3"/>
  <c r="GL1" i="3"/>
  <c r="GM55" i="3"/>
  <c r="GM56" i="3"/>
  <c r="GM58" i="3"/>
  <c r="GM50" i="3"/>
  <c r="GM51" i="3"/>
  <c r="GN54" i="3"/>
  <c r="GP9" i="3"/>
  <c r="GP53" i="3"/>
  <c r="GO8" i="3"/>
  <c r="GO3" i="3"/>
  <c r="GN52" i="3"/>
  <c r="GM57" i="3"/>
  <c r="GM1" i="3"/>
  <c r="GN55" i="3"/>
  <c r="GN56" i="3"/>
  <c r="GN58" i="3"/>
  <c r="GN50" i="3"/>
  <c r="GO52" i="3"/>
  <c r="GO54" i="3"/>
  <c r="GQ9" i="3"/>
  <c r="GQ53" i="3"/>
  <c r="GP8" i="3"/>
  <c r="GP3" i="3"/>
  <c r="GN51" i="3"/>
  <c r="GN57" i="3"/>
  <c r="GO55" i="3"/>
  <c r="GO56" i="3"/>
  <c r="GO58" i="3"/>
  <c r="GO50" i="3"/>
  <c r="GP52" i="3"/>
  <c r="GP54" i="3"/>
  <c r="GR9" i="3"/>
  <c r="GR53" i="3"/>
  <c r="GQ8" i="3"/>
  <c r="GQ3" i="3"/>
  <c r="GN1" i="3"/>
  <c r="GO51" i="3"/>
  <c r="GO57" i="3"/>
  <c r="GO1" i="3"/>
  <c r="GP55" i="3"/>
  <c r="GP56" i="3"/>
  <c r="GP58" i="3"/>
  <c r="GP50" i="3"/>
  <c r="GQ52" i="3"/>
  <c r="GQ54" i="3"/>
  <c r="GS9" i="3"/>
  <c r="GS53" i="3"/>
  <c r="GR8" i="3"/>
  <c r="GR3" i="3"/>
  <c r="GP51" i="3"/>
  <c r="GP57" i="3"/>
  <c r="GP1" i="3"/>
  <c r="GQ55" i="3"/>
  <c r="GQ56" i="3"/>
  <c r="GQ58" i="3"/>
  <c r="GQ50" i="3"/>
  <c r="GQ51" i="3"/>
  <c r="GR54" i="3"/>
  <c r="GT9" i="3"/>
  <c r="GT53" i="3"/>
  <c r="GS8" i="3"/>
  <c r="GS3" i="3"/>
  <c r="GR52" i="3"/>
  <c r="GQ57" i="3"/>
  <c r="GQ1" i="3"/>
  <c r="GR55" i="3"/>
  <c r="GR56" i="3"/>
  <c r="GR58" i="3"/>
  <c r="GR50" i="3"/>
  <c r="GS52" i="3"/>
  <c r="GS54" i="3"/>
  <c r="GU9" i="3"/>
  <c r="GU53" i="3"/>
  <c r="GT8" i="3"/>
  <c r="GT3" i="3"/>
  <c r="GR51" i="3"/>
  <c r="GR57" i="3"/>
  <c r="GR1" i="3"/>
  <c r="GS55" i="3"/>
  <c r="GS56" i="3"/>
  <c r="GS58" i="3"/>
  <c r="GS50" i="3"/>
  <c r="GT52" i="3"/>
  <c r="GT54" i="3"/>
  <c r="GV9" i="3"/>
  <c r="GV53" i="3"/>
  <c r="GU8" i="3"/>
  <c r="GU3" i="3"/>
  <c r="GS51" i="3"/>
  <c r="GS57" i="3"/>
  <c r="GT55" i="3"/>
  <c r="GT56" i="3"/>
  <c r="GT58" i="3"/>
  <c r="GT50" i="3"/>
  <c r="GU52" i="3"/>
  <c r="GU54" i="3"/>
  <c r="GW9" i="3"/>
  <c r="GW53" i="3"/>
  <c r="GV8" i="3"/>
  <c r="GV3" i="3"/>
  <c r="GS1" i="3"/>
  <c r="GT51" i="3"/>
  <c r="GT57" i="3"/>
  <c r="GU55" i="3"/>
  <c r="GU56" i="3"/>
  <c r="GU58" i="3"/>
  <c r="GU50" i="3"/>
  <c r="GV52" i="3"/>
  <c r="GV54" i="3"/>
  <c r="GX9" i="3"/>
  <c r="GX53" i="3"/>
  <c r="GW8" i="3"/>
  <c r="GW3" i="3"/>
  <c r="GT1" i="3"/>
  <c r="GU51" i="3"/>
  <c r="GU57" i="3"/>
  <c r="GU1" i="3"/>
  <c r="GV55" i="3"/>
  <c r="GV56" i="3"/>
  <c r="GV58" i="3"/>
  <c r="GV50" i="3"/>
  <c r="GW52" i="3"/>
  <c r="GW54" i="3"/>
  <c r="GY9" i="3"/>
  <c r="GY53" i="3"/>
  <c r="GX8" i="3"/>
  <c r="GX3" i="3"/>
  <c r="GV51" i="3"/>
  <c r="GV57" i="3"/>
  <c r="GV1" i="3"/>
  <c r="GW55" i="3"/>
  <c r="GW56" i="3"/>
  <c r="GW58" i="3"/>
  <c r="GW50" i="3"/>
  <c r="GX52" i="3"/>
  <c r="GX54" i="3"/>
  <c r="GZ9" i="3"/>
  <c r="GZ53" i="3"/>
  <c r="GY8" i="3"/>
  <c r="GY3" i="3"/>
  <c r="GW51" i="3"/>
  <c r="GW57" i="3"/>
  <c r="GX55" i="3"/>
  <c r="GX56" i="3"/>
  <c r="GX58" i="3"/>
  <c r="GX50" i="3"/>
  <c r="GY52" i="3"/>
  <c r="GY54" i="3"/>
  <c r="HA9" i="3"/>
  <c r="HA53" i="3"/>
  <c r="GZ8" i="3"/>
  <c r="GZ3" i="3"/>
  <c r="GW1" i="3"/>
  <c r="GX51" i="3"/>
  <c r="GX57" i="3"/>
  <c r="GY55" i="3"/>
  <c r="GY56" i="3"/>
  <c r="GY58" i="3"/>
  <c r="GY50" i="3"/>
  <c r="GZ52" i="3"/>
  <c r="GZ54" i="3"/>
  <c r="HB9" i="3"/>
  <c r="HB53" i="3"/>
  <c r="HA8" i="3"/>
  <c r="HA3" i="3"/>
  <c r="GX1" i="3"/>
  <c r="GY51" i="3"/>
  <c r="GY57" i="3"/>
  <c r="GY1" i="3"/>
  <c r="GZ55" i="3"/>
  <c r="GZ56" i="3"/>
  <c r="GZ58" i="3"/>
  <c r="GZ50" i="3"/>
  <c r="HA52" i="3"/>
  <c r="HA54" i="3"/>
  <c r="HC9" i="3"/>
  <c r="HC53" i="3"/>
  <c r="HB8" i="3"/>
  <c r="HB3" i="3"/>
  <c r="GZ51" i="3"/>
  <c r="GZ57" i="3"/>
  <c r="GZ1" i="3"/>
  <c r="HA55" i="3"/>
  <c r="HA56" i="3"/>
  <c r="HA58" i="3"/>
  <c r="HA50" i="3"/>
  <c r="HB52" i="3"/>
  <c r="HB54" i="3"/>
  <c r="HD9" i="3"/>
  <c r="HD53" i="3"/>
  <c r="HC8" i="3"/>
  <c r="HC3" i="3"/>
  <c r="HA51" i="3"/>
  <c r="HA57" i="3"/>
  <c r="HA1" i="3"/>
  <c r="HB55" i="3"/>
  <c r="HB56" i="3"/>
  <c r="HB58" i="3"/>
  <c r="HB50" i="3"/>
  <c r="HC52" i="3"/>
  <c r="HC54" i="3"/>
  <c r="HE9" i="3"/>
  <c r="HE53" i="3"/>
  <c r="HD8" i="3"/>
  <c r="HD3" i="3"/>
  <c r="HB51" i="3"/>
  <c r="HB57" i="3"/>
  <c r="HB1" i="3"/>
  <c r="HC55" i="3"/>
  <c r="HC56" i="3"/>
  <c r="HC58" i="3"/>
  <c r="HC50" i="3"/>
  <c r="HD52" i="3"/>
  <c r="HD54" i="3"/>
  <c r="HF9" i="3"/>
  <c r="HF53" i="3"/>
  <c r="HE8" i="3"/>
  <c r="HE3" i="3"/>
  <c r="HC51" i="3"/>
  <c r="HC57" i="3"/>
  <c r="HC1" i="3"/>
  <c r="HD55" i="3"/>
  <c r="HD56" i="3"/>
  <c r="HD58" i="3"/>
  <c r="HD50" i="3"/>
  <c r="HE52" i="3"/>
  <c r="HE54" i="3"/>
  <c r="HG9" i="3"/>
  <c r="HG53" i="3"/>
  <c r="HF8" i="3"/>
  <c r="HF3" i="3"/>
  <c r="HD51" i="3"/>
  <c r="HD57" i="3"/>
  <c r="HD1" i="3"/>
  <c r="HE55" i="3"/>
  <c r="HE56" i="3"/>
  <c r="HE58" i="3"/>
  <c r="HE50" i="3"/>
  <c r="HF52" i="3"/>
  <c r="HF54" i="3"/>
  <c r="HH9" i="3"/>
  <c r="HH53" i="3"/>
  <c r="HG8" i="3"/>
  <c r="HG3" i="3"/>
  <c r="HE51" i="3"/>
  <c r="HE57" i="3"/>
  <c r="HE1" i="3"/>
  <c r="HF55" i="3"/>
  <c r="HF56" i="3"/>
  <c r="HF58" i="3"/>
  <c r="HF50" i="3"/>
  <c r="HG52" i="3"/>
  <c r="HG54" i="3"/>
  <c r="HI9" i="3"/>
  <c r="HI53" i="3"/>
  <c r="HH8" i="3"/>
  <c r="HH3" i="3"/>
  <c r="HF51" i="3"/>
  <c r="HF57" i="3"/>
  <c r="HF1" i="3"/>
  <c r="HG55" i="3"/>
  <c r="HG56" i="3"/>
  <c r="HG58" i="3"/>
  <c r="HG50" i="3"/>
  <c r="HH52" i="3"/>
  <c r="HH54" i="3"/>
  <c r="HJ9" i="3"/>
  <c r="HJ53" i="3"/>
  <c r="HI8" i="3"/>
  <c r="HI3" i="3"/>
  <c r="HG51" i="3"/>
  <c r="HG57" i="3"/>
  <c r="HG1" i="3"/>
  <c r="HH55" i="3"/>
  <c r="HH56" i="3"/>
  <c r="HH58" i="3"/>
  <c r="HH50" i="3"/>
  <c r="HI52" i="3"/>
  <c r="HI54" i="3"/>
  <c r="HK9" i="3"/>
  <c r="HK53" i="3"/>
  <c r="HJ8" i="3"/>
  <c r="HJ3" i="3"/>
  <c r="HH51" i="3"/>
  <c r="HH57" i="3"/>
  <c r="HI55" i="3"/>
  <c r="HI56" i="3"/>
  <c r="HI58" i="3"/>
  <c r="HI50" i="3"/>
  <c r="HJ52" i="3"/>
  <c r="HJ54" i="3"/>
  <c r="HL9" i="3"/>
  <c r="HL53" i="3"/>
  <c r="HK8" i="3"/>
  <c r="HK3" i="3"/>
  <c r="HH1" i="3"/>
  <c r="HI51" i="3"/>
  <c r="HI57" i="3"/>
  <c r="HJ55" i="3"/>
  <c r="HJ56" i="3"/>
  <c r="HJ58" i="3"/>
  <c r="HJ50" i="3"/>
  <c r="HJ51" i="3"/>
  <c r="HK54" i="3"/>
  <c r="HM9" i="3"/>
  <c r="HM53" i="3"/>
  <c r="HL8" i="3"/>
  <c r="HL3" i="3"/>
  <c r="HI1" i="3"/>
  <c r="HK52" i="3"/>
  <c r="HJ57" i="3"/>
  <c r="HJ1" i="3"/>
  <c r="HK55" i="3"/>
  <c r="HK56" i="3"/>
  <c r="HK58" i="3"/>
  <c r="HK50" i="3"/>
  <c r="HL52" i="3"/>
  <c r="HL54" i="3"/>
  <c r="HN9" i="3"/>
  <c r="HN53" i="3"/>
  <c r="HM8" i="3"/>
  <c r="HM3" i="3"/>
  <c r="HK51" i="3"/>
  <c r="HK57" i="3"/>
  <c r="HL55" i="3"/>
  <c r="HL56" i="3"/>
  <c r="HL58" i="3"/>
  <c r="HL50" i="3"/>
  <c r="HM52" i="3"/>
  <c r="HM54" i="3"/>
  <c r="HO9" i="3"/>
  <c r="HO53" i="3"/>
  <c r="HN8" i="3"/>
  <c r="HN3" i="3"/>
  <c r="HK1" i="3"/>
  <c r="HL51" i="3"/>
  <c r="HL57" i="3"/>
  <c r="HM55" i="3"/>
  <c r="HM56" i="3"/>
  <c r="HM58" i="3"/>
  <c r="HM50" i="3"/>
  <c r="HM51" i="3"/>
  <c r="HN54" i="3"/>
  <c r="HP9" i="3"/>
  <c r="HP53" i="3"/>
  <c r="HO8" i="3"/>
  <c r="HO3" i="3"/>
  <c r="HL1" i="3"/>
  <c r="HN52" i="3"/>
  <c r="HM57" i="3"/>
  <c r="HM1" i="3"/>
  <c r="HN55" i="3"/>
  <c r="HN56" i="3"/>
  <c r="HN58" i="3"/>
  <c r="HN50" i="3"/>
  <c r="HN51" i="3"/>
  <c r="HO54" i="3"/>
  <c r="HQ9" i="3"/>
  <c r="HQ53" i="3"/>
  <c r="HP8" i="3"/>
  <c r="HP3" i="3"/>
  <c r="HO52" i="3"/>
  <c r="HN57" i="3"/>
  <c r="HN1" i="3"/>
  <c r="HO55" i="3"/>
  <c r="HO56" i="3"/>
  <c r="HO58" i="3"/>
  <c r="HO50" i="3"/>
  <c r="HO51" i="3"/>
  <c r="HP54" i="3"/>
  <c r="HR9" i="3"/>
  <c r="HR53" i="3"/>
  <c r="HQ8" i="3"/>
  <c r="HQ3" i="3"/>
  <c r="HP52" i="3"/>
  <c r="HO57" i="3"/>
  <c r="HO1" i="3"/>
  <c r="HP55" i="3"/>
  <c r="HP56" i="3"/>
  <c r="HP58" i="3"/>
  <c r="HP50" i="3"/>
  <c r="HQ52" i="3"/>
  <c r="HQ54" i="3"/>
  <c r="HS9" i="3"/>
  <c r="HS53" i="3"/>
  <c r="HR8" i="3"/>
  <c r="HR3" i="3"/>
  <c r="HP51" i="3"/>
  <c r="HP57" i="3"/>
  <c r="HP1" i="3"/>
  <c r="HQ55" i="3"/>
  <c r="HQ56" i="3"/>
  <c r="HQ58" i="3"/>
  <c r="HQ50" i="3"/>
  <c r="HR52" i="3"/>
  <c r="HR54" i="3"/>
  <c r="HT9" i="3"/>
  <c r="HT53" i="3"/>
  <c r="HS8" i="3"/>
  <c r="HS3" i="3"/>
  <c r="HQ51" i="3"/>
  <c r="HQ57" i="3"/>
  <c r="HR55" i="3"/>
  <c r="HR56" i="3"/>
  <c r="HR58" i="3"/>
  <c r="HR50" i="3"/>
  <c r="HS52" i="3"/>
  <c r="HS54" i="3"/>
  <c r="HU9" i="3"/>
  <c r="HU53" i="3"/>
  <c r="HT8" i="3"/>
  <c r="HT3" i="3"/>
  <c r="HQ1" i="3"/>
  <c r="HR51" i="3"/>
  <c r="HR57" i="3"/>
  <c r="HR1" i="3"/>
  <c r="HS55" i="3"/>
  <c r="HS56" i="3"/>
  <c r="HS58" i="3"/>
  <c r="HS50" i="3"/>
  <c r="HT52" i="3"/>
  <c r="HT54" i="3"/>
  <c r="HV9" i="3"/>
  <c r="HV53" i="3"/>
  <c r="HU8" i="3"/>
  <c r="HU3" i="3"/>
  <c r="HS51" i="3"/>
  <c r="HS57" i="3"/>
  <c r="HS1" i="3"/>
  <c r="HT55" i="3"/>
  <c r="HT56" i="3"/>
  <c r="HT58" i="3"/>
  <c r="HT50" i="3"/>
  <c r="HU52" i="3"/>
  <c r="HU54" i="3"/>
  <c r="HW9" i="3"/>
  <c r="HW53" i="3"/>
  <c r="HV8" i="3"/>
  <c r="HV3" i="3"/>
  <c r="HT51" i="3"/>
  <c r="HT57" i="3"/>
  <c r="HT1" i="3"/>
  <c r="HU55" i="3"/>
  <c r="HU56" i="3"/>
  <c r="HU58" i="3"/>
  <c r="HU50" i="3"/>
  <c r="HU51" i="3"/>
  <c r="HV54" i="3"/>
  <c r="HX9" i="3"/>
  <c r="HX53" i="3"/>
  <c r="HW8" i="3"/>
  <c r="HW3" i="3"/>
  <c r="HV52" i="3"/>
  <c r="HU57" i="3"/>
  <c r="HU1" i="3"/>
  <c r="HV55" i="3"/>
  <c r="HV56" i="3"/>
  <c r="HV58" i="3"/>
  <c r="HV50" i="3"/>
  <c r="HW52" i="3"/>
  <c r="HW54" i="3"/>
  <c r="HY9" i="3"/>
  <c r="HY53" i="3"/>
  <c r="HX8" i="3"/>
  <c r="HX3" i="3"/>
  <c r="HV51" i="3"/>
  <c r="HV57" i="3"/>
  <c r="HV1" i="3"/>
  <c r="HW55" i="3"/>
  <c r="HW56" i="3"/>
  <c r="HW58" i="3"/>
  <c r="HW50" i="3"/>
  <c r="HX52" i="3"/>
  <c r="HX54" i="3"/>
  <c r="HZ9" i="3"/>
  <c r="HZ53" i="3"/>
  <c r="HY8" i="3"/>
  <c r="HY3" i="3"/>
  <c r="HW51" i="3"/>
  <c r="HW57" i="3"/>
  <c r="HW1" i="3"/>
  <c r="HX55" i="3"/>
  <c r="HX56" i="3"/>
  <c r="HX58" i="3"/>
  <c r="HX50" i="3"/>
  <c r="HY52" i="3"/>
  <c r="HY54" i="3"/>
  <c r="IA9" i="3"/>
  <c r="IA53" i="3"/>
  <c r="HZ8" i="3"/>
  <c r="HZ3" i="3"/>
  <c r="HX51" i="3"/>
  <c r="HX57" i="3"/>
  <c r="HX1" i="3"/>
  <c r="HY55" i="3"/>
  <c r="HY56" i="3"/>
  <c r="HY58" i="3"/>
  <c r="HY50" i="3"/>
  <c r="HY51" i="3"/>
  <c r="HZ54" i="3"/>
  <c r="IB9" i="3"/>
  <c r="IB53" i="3"/>
  <c r="IA8" i="3"/>
  <c r="IA3" i="3"/>
  <c r="HZ52" i="3"/>
  <c r="HY57" i="3"/>
  <c r="HY1" i="3"/>
  <c r="HZ55" i="3"/>
  <c r="HZ56" i="3"/>
  <c r="HZ58" i="3"/>
  <c r="HZ50" i="3"/>
  <c r="IA52" i="3"/>
  <c r="IA54" i="3"/>
  <c r="IC9" i="3"/>
  <c r="IC53" i="3"/>
  <c r="IB8" i="3"/>
  <c r="IB3" i="3"/>
  <c r="HZ51" i="3"/>
  <c r="HZ57" i="3"/>
  <c r="IA55" i="3"/>
  <c r="IA56" i="3"/>
  <c r="IA58" i="3"/>
  <c r="IA50" i="3"/>
  <c r="IA51" i="3"/>
  <c r="IB54" i="3"/>
  <c r="ID9" i="3"/>
  <c r="ID53" i="3"/>
  <c r="IC8" i="3"/>
  <c r="IC3" i="3"/>
  <c r="HZ1" i="3"/>
  <c r="IB52" i="3"/>
  <c r="IA57" i="3"/>
  <c r="IA1" i="3"/>
  <c r="IB55" i="3"/>
  <c r="IB56" i="3"/>
  <c r="IB58" i="3"/>
  <c r="IB50" i="3"/>
  <c r="IC52" i="3"/>
  <c r="IC54" i="3"/>
  <c r="IE9" i="3"/>
  <c r="IE53" i="3"/>
  <c r="ID8" i="3"/>
  <c r="ID3" i="3"/>
  <c r="IB51" i="3"/>
  <c r="IB1" i="3"/>
  <c r="IB57" i="3"/>
  <c r="IC55" i="3"/>
  <c r="IC56" i="3"/>
  <c r="IC58" i="3"/>
  <c r="IC50" i="3"/>
  <c r="ID52" i="3"/>
  <c r="ID54" i="3"/>
  <c r="IF9" i="3"/>
  <c r="IF53" i="3"/>
  <c r="IE8" i="3"/>
  <c r="IE3" i="3"/>
  <c r="IC51" i="3"/>
  <c r="IC57" i="3"/>
  <c r="IC1" i="3"/>
  <c r="ID55" i="3"/>
  <c r="ID56" i="3"/>
  <c r="ID58" i="3"/>
  <c r="ID50" i="3"/>
  <c r="IE52" i="3"/>
  <c r="IE54" i="3"/>
  <c r="IG9" i="3"/>
  <c r="IG53" i="3"/>
  <c r="IF8" i="3"/>
  <c r="IF3" i="3"/>
  <c r="ID51" i="3"/>
  <c r="ID57" i="3"/>
  <c r="IE55" i="3"/>
  <c r="IE56" i="3"/>
  <c r="IE58" i="3"/>
  <c r="IE50" i="3"/>
  <c r="IF52" i="3"/>
  <c r="IF54" i="3"/>
  <c r="IH9" i="3"/>
  <c r="IH53" i="3"/>
  <c r="IG8" i="3"/>
  <c r="IG3" i="3"/>
  <c r="ID1" i="3"/>
  <c r="IE51" i="3"/>
  <c r="IE57" i="3"/>
  <c r="IF55" i="3"/>
  <c r="IF56" i="3"/>
  <c r="IF58" i="3"/>
  <c r="IF50" i="3"/>
  <c r="IG52" i="3"/>
  <c r="IG54" i="3"/>
  <c r="II9" i="3"/>
  <c r="II53" i="3"/>
  <c r="IH8" i="3"/>
  <c r="IH3" i="3"/>
  <c r="IE1" i="3"/>
  <c r="IF51" i="3"/>
  <c r="IF57" i="3"/>
  <c r="IG55" i="3"/>
  <c r="IG56" i="3"/>
  <c r="IG58" i="3"/>
  <c r="IG50" i="3"/>
  <c r="IG51" i="3"/>
  <c r="IH54" i="3"/>
  <c r="IJ9" i="3"/>
  <c r="IJ53" i="3"/>
  <c r="II8" i="3"/>
  <c r="II3" i="3"/>
  <c r="IF1" i="3"/>
  <c r="IH52" i="3"/>
  <c r="IG57" i="3"/>
  <c r="IG1" i="3"/>
  <c r="IH55" i="3"/>
  <c r="IH56" i="3"/>
  <c r="IH58" i="3"/>
  <c r="IH50" i="3"/>
  <c r="II52" i="3"/>
  <c r="II54" i="3"/>
  <c r="IK9" i="3"/>
  <c r="IK53" i="3"/>
  <c r="IJ8" i="3"/>
  <c r="IJ3" i="3"/>
  <c r="IH51" i="3"/>
  <c r="IH57" i="3"/>
  <c r="II55" i="3"/>
  <c r="II56" i="3"/>
  <c r="II58" i="3"/>
  <c r="II50" i="3"/>
  <c r="II51" i="3"/>
  <c r="IJ54" i="3"/>
  <c r="IL9" i="3"/>
  <c r="IL53" i="3"/>
  <c r="IK8" i="3"/>
  <c r="IK3" i="3"/>
  <c r="IH1" i="3"/>
  <c r="IJ52" i="3"/>
  <c r="II57" i="3"/>
  <c r="II1" i="3"/>
  <c r="IJ55" i="3"/>
  <c r="IJ56" i="3"/>
  <c r="IJ58" i="3"/>
  <c r="IJ50" i="3"/>
  <c r="IK52" i="3"/>
  <c r="IK54" i="3"/>
  <c r="IM9" i="3"/>
  <c r="IM53" i="3"/>
  <c r="IL8" i="3"/>
  <c r="IL3" i="3"/>
  <c r="IJ51" i="3"/>
  <c r="IJ57" i="3"/>
  <c r="IJ1" i="3"/>
  <c r="IK55" i="3"/>
  <c r="IK56" i="3"/>
  <c r="IK58" i="3"/>
  <c r="IK50" i="3"/>
  <c r="IK51" i="3"/>
  <c r="IL54" i="3"/>
  <c r="IN9" i="3"/>
  <c r="IN53" i="3"/>
  <c r="IM8" i="3"/>
  <c r="IM3" i="3"/>
  <c r="IL52" i="3"/>
  <c r="IK57" i="3"/>
  <c r="IK1" i="3"/>
  <c r="IL55" i="3"/>
  <c r="IL56" i="3"/>
  <c r="IL58" i="3"/>
  <c r="IL50" i="3"/>
  <c r="IM52" i="3"/>
  <c r="IM54" i="3"/>
  <c r="IO9" i="3"/>
  <c r="IO53" i="3"/>
  <c r="IN8" i="3"/>
  <c r="IN3" i="3"/>
  <c r="IL51" i="3"/>
  <c r="IL57" i="3"/>
  <c r="IM55" i="3"/>
  <c r="IM56" i="3"/>
  <c r="IM58" i="3"/>
  <c r="IM50" i="3"/>
  <c r="IN52" i="3"/>
  <c r="IN54" i="3"/>
  <c r="IP9" i="3"/>
  <c r="IP53" i="3"/>
  <c r="IO8" i="3"/>
  <c r="IO3" i="3"/>
  <c r="IL1" i="3"/>
  <c r="IM51" i="3"/>
  <c r="IM57" i="3"/>
  <c r="IM1" i="3"/>
  <c r="IN55" i="3"/>
  <c r="IN56" i="3"/>
  <c r="IN58" i="3"/>
  <c r="IN50" i="3"/>
  <c r="IO52" i="3"/>
  <c r="IO54" i="3"/>
  <c r="IQ9" i="3"/>
  <c r="IQ53" i="3"/>
  <c r="IP8" i="3"/>
  <c r="IP3" i="3"/>
  <c r="IN51" i="3"/>
  <c r="IN57" i="3"/>
  <c r="IO55" i="3"/>
  <c r="IO56" i="3"/>
  <c r="IO58" i="3"/>
  <c r="IO50" i="3"/>
  <c r="IO51" i="3"/>
  <c r="IP54" i="3"/>
  <c r="IR9" i="3"/>
  <c r="IR53" i="3"/>
  <c r="IQ8" i="3"/>
  <c r="IQ3" i="3"/>
  <c r="IN1" i="3"/>
  <c r="IP52" i="3"/>
  <c r="IO57" i="3"/>
  <c r="IO1" i="3"/>
  <c r="IP55" i="3"/>
  <c r="IP56" i="3"/>
  <c r="IP58" i="3"/>
  <c r="IP50" i="3"/>
  <c r="IQ52" i="3"/>
  <c r="IQ54" i="3"/>
  <c r="IS9" i="3"/>
  <c r="IS53" i="3"/>
  <c r="IR8" i="3"/>
  <c r="IR3" i="3"/>
  <c r="IP51" i="3"/>
  <c r="IP57" i="3"/>
  <c r="IQ55" i="3"/>
  <c r="IQ56" i="3"/>
  <c r="IQ58" i="3"/>
  <c r="IQ50" i="3"/>
  <c r="IR52" i="3"/>
  <c r="IR54" i="3"/>
  <c r="IT9" i="3"/>
  <c r="IT53" i="3"/>
  <c r="IS8" i="3"/>
  <c r="IS3" i="3"/>
  <c r="IQ51" i="3"/>
  <c r="IP1" i="3"/>
  <c r="IQ57" i="3"/>
  <c r="IQ1" i="3"/>
  <c r="IR55" i="3"/>
  <c r="IR56" i="3"/>
  <c r="IR58" i="3"/>
  <c r="IR50" i="3"/>
  <c r="IS52" i="3"/>
  <c r="IS54" i="3"/>
  <c r="IU9" i="3"/>
  <c r="IU53" i="3"/>
  <c r="IT8" i="3"/>
  <c r="IT3" i="3"/>
  <c r="IR51" i="3"/>
  <c r="IR57" i="3"/>
  <c r="IR1" i="3"/>
  <c r="IS55" i="3"/>
  <c r="IS56" i="3"/>
  <c r="IS58" i="3"/>
  <c r="IS50" i="3"/>
  <c r="IS51" i="3"/>
  <c r="IT54" i="3"/>
  <c r="IV9" i="3"/>
  <c r="IV53" i="3"/>
  <c r="IU8" i="3"/>
  <c r="IU3" i="3"/>
  <c r="IT52" i="3"/>
  <c r="IS57" i="3"/>
  <c r="IS1" i="3"/>
  <c r="IT55" i="3"/>
  <c r="IT56" i="3"/>
  <c r="IT58" i="3"/>
  <c r="IT50" i="3"/>
  <c r="IU52" i="3"/>
  <c r="IU54" i="3"/>
  <c r="IW9" i="3"/>
  <c r="IW53" i="3"/>
  <c r="IV8" i="3"/>
  <c r="IV3" i="3"/>
  <c r="IT51" i="3"/>
  <c r="IT57" i="3"/>
  <c r="IU55" i="3"/>
  <c r="IU56" i="3"/>
  <c r="IU58" i="3"/>
  <c r="IU50" i="3"/>
  <c r="IV52" i="3"/>
  <c r="IV54" i="3"/>
  <c r="IX9" i="3"/>
  <c r="IX53" i="3"/>
  <c r="IW8" i="3"/>
  <c r="IW3" i="3"/>
  <c r="IT1" i="3"/>
  <c r="IU51" i="3"/>
  <c r="IU57" i="3"/>
  <c r="IU1" i="3"/>
  <c r="IV55" i="3"/>
  <c r="IV56" i="3"/>
  <c r="IV58" i="3"/>
  <c r="IV50" i="3"/>
  <c r="IW52" i="3"/>
  <c r="IW54" i="3"/>
  <c r="IY9" i="3"/>
  <c r="IY53" i="3"/>
  <c r="IX8" i="3"/>
  <c r="IX3" i="3"/>
  <c r="IV51" i="3"/>
  <c r="IV57" i="3"/>
  <c r="IW55" i="3"/>
  <c r="IW56" i="3"/>
  <c r="IW58" i="3"/>
  <c r="IW50" i="3"/>
  <c r="IW51" i="3"/>
  <c r="IX54" i="3"/>
  <c r="IZ9" i="3"/>
  <c r="IZ53" i="3"/>
  <c r="IY8" i="3"/>
  <c r="IY3" i="3"/>
  <c r="IV1" i="3"/>
  <c r="IX52" i="3"/>
  <c r="IW57" i="3"/>
  <c r="IW1" i="3"/>
  <c r="IX55" i="3"/>
  <c r="IX56" i="3"/>
  <c r="IX58" i="3"/>
  <c r="IX50" i="3"/>
  <c r="IY52" i="3"/>
  <c r="IY54" i="3"/>
  <c r="JA9" i="3"/>
  <c r="JA53" i="3"/>
  <c r="IZ8" i="3"/>
  <c r="IZ3" i="3"/>
  <c r="IX51" i="3"/>
  <c r="IX57" i="3"/>
  <c r="IY55" i="3"/>
  <c r="IY56" i="3"/>
  <c r="IY58" i="3"/>
  <c r="IY50" i="3"/>
  <c r="IZ52" i="3"/>
  <c r="IZ54" i="3"/>
  <c r="JB9" i="3"/>
  <c r="JB53" i="3"/>
  <c r="JA8" i="3"/>
  <c r="JA3" i="3"/>
  <c r="IX1" i="3"/>
  <c r="IY51" i="3"/>
  <c r="IY57" i="3"/>
  <c r="IZ55" i="3"/>
  <c r="IZ56" i="3"/>
  <c r="IZ58" i="3"/>
  <c r="IZ50" i="3"/>
  <c r="JA52" i="3"/>
  <c r="JA54" i="3"/>
  <c r="JC9" i="3"/>
  <c r="JC53" i="3"/>
  <c r="JB8" i="3"/>
  <c r="JB3" i="3"/>
  <c r="IY1" i="3"/>
  <c r="IZ51" i="3"/>
  <c r="IZ1" i="3"/>
  <c r="JA55" i="3"/>
  <c r="JA56" i="3"/>
  <c r="JA58" i="3"/>
  <c r="JA50" i="3"/>
  <c r="JB52" i="3"/>
  <c r="JB54" i="3"/>
  <c r="JD9" i="3"/>
  <c r="JD53" i="3"/>
  <c r="JC8" i="3"/>
  <c r="JC3" i="3"/>
  <c r="IZ57" i="3"/>
  <c r="JA51" i="3"/>
  <c r="JA57" i="3"/>
  <c r="JA1" i="3"/>
  <c r="JB55" i="3"/>
  <c r="JB56" i="3"/>
  <c r="JB58" i="3"/>
  <c r="JB50" i="3"/>
  <c r="JC52" i="3"/>
  <c r="JC54" i="3"/>
  <c r="JE9" i="3"/>
  <c r="JE53" i="3"/>
  <c r="JD8" i="3"/>
  <c r="JD3" i="3"/>
  <c r="JB51" i="3"/>
  <c r="JB57" i="3"/>
  <c r="JB1" i="3"/>
  <c r="JC55" i="3"/>
  <c r="JC56" i="3"/>
  <c r="JC58" i="3"/>
  <c r="JC50" i="3"/>
  <c r="JD52" i="3"/>
  <c r="JD54" i="3"/>
  <c r="JF9" i="3"/>
  <c r="JF53" i="3"/>
  <c r="JE8" i="3"/>
  <c r="JE3" i="3"/>
  <c r="JC51" i="3"/>
  <c r="JC57" i="3"/>
  <c r="JD55" i="3"/>
  <c r="JD56" i="3"/>
  <c r="JD58" i="3"/>
  <c r="JD50" i="3"/>
  <c r="JE52" i="3"/>
  <c r="JE54" i="3"/>
  <c r="JG9" i="3"/>
  <c r="JG53" i="3"/>
  <c r="JF8" i="3"/>
  <c r="JF3" i="3"/>
  <c r="JC1" i="3"/>
  <c r="JD51" i="3"/>
  <c r="JD57" i="3"/>
  <c r="JE55" i="3"/>
  <c r="JE56" i="3"/>
  <c r="JE58" i="3"/>
  <c r="JE50" i="3"/>
  <c r="JF52" i="3"/>
  <c r="JF54" i="3"/>
  <c r="JH9" i="3"/>
  <c r="JH53" i="3"/>
  <c r="JG8" i="3"/>
  <c r="JG3" i="3"/>
  <c r="JD1" i="3"/>
  <c r="JE51" i="3"/>
  <c r="JE57" i="3"/>
  <c r="JE1" i="3"/>
  <c r="JF55" i="3"/>
  <c r="JF56" i="3"/>
  <c r="JF58" i="3"/>
  <c r="JF50" i="3"/>
  <c r="JG52" i="3"/>
  <c r="JG54" i="3"/>
  <c r="JI9" i="3"/>
  <c r="JI53" i="3"/>
  <c r="JH8" i="3"/>
  <c r="JH3" i="3"/>
  <c r="JF51" i="3"/>
  <c r="JF57" i="3"/>
  <c r="JF1" i="3"/>
  <c r="JG55" i="3"/>
  <c r="JG56" i="3"/>
  <c r="JG58" i="3"/>
  <c r="JG50" i="3"/>
  <c r="JH52" i="3"/>
  <c r="JH54" i="3"/>
  <c r="JJ9" i="3"/>
  <c r="JJ53" i="3"/>
  <c r="JI8" i="3"/>
  <c r="JI3" i="3"/>
  <c r="JG51" i="3"/>
  <c r="JG57" i="3"/>
  <c r="JG1" i="3"/>
  <c r="JH55" i="3"/>
  <c r="JH56" i="3"/>
  <c r="JH58" i="3"/>
  <c r="JH50" i="3"/>
  <c r="JH51" i="3"/>
  <c r="JI54" i="3"/>
  <c r="JK9" i="3"/>
  <c r="JK53" i="3"/>
  <c r="JJ8" i="3"/>
  <c r="JJ3" i="3"/>
  <c r="JI52" i="3"/>
  <c r="JH57" i="3"/>
  <c r="JH1" i="3"/>
  <c r="JI55" i="3"/>
  <c r="JI56" i="3"/>
  <c r="JI58" i="3"/>
  <c r="JI50" i="3"/>
  <c r="JJ52" i="3"/>
  <c r="JJ54" i="3"/>
  <c r="JL9" i="3"/>
  <c r="JL53" i="3"/>
  <c r="JK8" i="3"/>
  <c r="JK3" i="3"/>
  <c r="JI51" i="3"/>
  <c r="JI57" i="3"/>
  <c r="JJ55" i="3"/>
  <c r="JJ56" i="3"/>
  <c r="JJ58" i="3"/>
  <c r="JJ50" i="3"/>
  <c r="JJ51" i="3"/>
  <c r="JK54" i="3"/>
  <c r="JM9" i="3"/>
  <c r="JM53" i="3"/>
  <c r="JL8" i="3"/>
  <c r="JL3" i="3"/>
  <c r="JI1" i="3"/>
  <c r="JK52" i="3"/>
  <c r="JJ57" i="3"/>
  <c r="JJ1" i="3"/>
  <c r="JK55" i="3"/>
  <c r="JK56" i="3"/>
  <c r="JK58" i="3"/>
  <c r="JK50" i="3"/>
  <c r="JL52" i="3"/>
  <c r="JL54" i="3"/>
  <c r="JN9" i="3"/>
  <c r="JN53" i="3"/>
  <c r="JM8" i="3"/>
  <c r="JM3" i="3"/>
  <c r="JK51" i="3"/>
  <c r="JK57" i="3"/>
  <c r="JK1" i="3"/>
  <c r="JL55" i="3"/>
  <c r="JL56" i="3"/>
  <c r="JL58" i="3"/>
  <c r="JL50" i="3"/>
  <c r="JM52" i="3"/>
  <c r="JM54" i="3"/>
  <c r="JO9" i="3"/>
  <c r="JO53" i="3"/>
  <c r="JN8" i="3"/>
  <c r="JN3" i="3"/>
  <c r="JL51" i="3"/>
  <c r="JL57" i="3"/>
  <c r="JM55" i="3"/>
  <c r="JM56" i="3"/>
  <c r="JM58" i="3"/>
  <c r="JM50" i="3"/>
  <c r="JN52" i="3"/>
  <c r="JN54" i="3"/>
  <c r="JP9" i="3"/>
  <c r="JP53" i="3"/>
  <c r="JO8" i="3"/>
  <c r="JO3" i="3"/>
  <c r="JL1" i="3"/>
  <c r="JM51" i="3"/>
  <c r="JM57" i="3"/>
  <c r="JM1" i="3"/>
  <c r="JN55" i="3"/>
  <c r="JN56" i="3"/>
  <c r="JN58" i="3"/>
  <c r="JN50" i="3"/>
  <c r="JN51" i="3"/>
  <c r="JO54" i="3"/>
  <c r="JQ9" i="3"/>
  <c r="JQ53" i="3"/>
  <c r="JP8" i="3"/>
  <c r="JP3" i="3"/>
  <c r="JO52" i="3"/>
  <c r="JN57" i="3"/>
  <c r="JN1" i="3"/>
  <c r="JO55" i="3"/>
  <c r="JO56" i="3"/>
  <c r="JO58" i="3"/>
  <c r="JO50" i="3"/>
  <c r="JP52" i="3"/>
  <c r="JP54" i="3"/>
  <c r="JR9" i="3"/>
  <c r="JR53" i="3"/>
  <c r="JQ8" i="3"/>
  <c r="JQ3" i="3"/>
  <c r="JO51" i="3"/>
  <c r="JO57" i="3"/>
  <c r="JP55" i="3"/>
  <c r="JP56" i="3"/>
  <c r="JP58" i="3"/>
  <c r="JP50" i="3"/>
  <c r="JQ52" i="3"/>
  <c r="JQ54" i="3"/>
  <c r="JS9" i="3"/>
  <c r="JS53" i="3"/>
  <c r="JR8" i="3"/>
  <c r="JR3" i="3"/>
  <c r="JO1" i="3"/>
  <c r="JP51" i="3"/>
  <c r="JP57" i="3"/>
  <c r="JQ55" i="3"/>
  <c r="JQ56" i="3"/>
  <c r="JQ58" i="3"/>
  <c r="JQ50" i="3"/>
  <c r="JR52" i="3"/>
  <c r="JR54" i="3"/>
  <c r="JT9" i="3"/>
  <c r="JT53" i="3"/>
  <c r="JS8" i="3"/>
  <c r="JS3" i="3"/>
  <c r="JP1" i="3"/>
  <c r="JQ51" i="3"/>
  <c r="JQ57" i="3"/>
  <c r="JQ1" i="3"/>
  <c r="JR55" i="3"/>
  <c r="JR56" i="3"/>
  <c r="JR58" i="3"/>
  <c r="JR50" i="3"/>
  <c r="JS52" i="3"/>
  <c r="JS54" i="3"/>
  <c r="JU9" i="3"/>
  <c r="JU53" i="3"/>
  <c r="JT8" i="3"/>
  <c r="JT3" i="3"/>
  <c r="JR51" i="3"/>
  <c r="JR57" i="3"/>
  <c r="JR1" i="3"/>
  <c r="JS55" i="3"/>
  <c r="JS56" i="3"/>
  <c r="JS58" i="3"/>
  <c r="JS50" i="3"/>
  <c r="JT52" i="3"/>
  <c r="JT54" i="3"/>
  <c r="JV9" i="3"/>
  <c r="JV53" i="3"/>
  <c r="JU8" i="3"/>
  <c r="JU3" i="3"/>
  <c r="JS51" i="3"/>
  <c r="JS57" i="3"/>
  <c r="JS1" i="3"/>
  <c r="JT55" i="3"/>
  <c r="JT56" i="3"/>
  <c r="JT58" i="3"/>
  <c r="JT50" i="3"/>
  <c r="JU52" i="3"/>
  <c r="JU54" i="3"/>
  <c r="JW9" i="3"/>
  <c r="JW53" i="3"/>
  <c r="JV8" i="3"/>
  <c r="JV3" i="3"/>
  <c r="JT51" i="3"/>
  <c r="JT57" i="3"/>
  <c r="JU55" i="3"/>
  <c r="JU56" i="3"/>
  <c r="JU58" i="3"/>
  <c r="JU50" i="3"/>
  <c r="JV52" i="3"/>
  <c r="JV54" i="3"/>
  <c r="JX9" i="3"/>
  <c r="JX53" i="3"/>
  <c r="JW8" i="3"/>
  <c r="JW3" i="3"/>
  <c r="JU51" i="3"/>
  <c r="JU57" i="3"/>
  <c r="JT1" i="3"/>
  <c r="JU1" i="3"/>
  <c r="JV55" i="3"/>
  <c r="JV56" i="3"/>
  <c r="JV58" i="3"/>
  <c r="JV50" i="3"/>
  <c r="JW52" i="3"/>
  <c r="JW54" i="3"/>
  <c r="JY9" i="3"/>
  <c r="JY53" i="3"/>
  <c r="JX8" i="3"/>
  <c r="JX3" i="3"/>
  <c r="JV51" i="3"/>
  <c r="JV57" i="3"/>
  <c r="JW55" i="3"/>
  <c r="JW56" i="3"/>
  <c r="JW58" i="3"/>
  <c r="JW50" i="3"/>
  <c r="JW51" i="3"/>
  <c r="JX54" i="3"/>
  <c r="JZ9" i="3"/>
  <c r="JZ53" i="3"/>
  <c r="JY8" i="3"/>
  <c r="JY3" i="3"/>
  <c r="JX52" i="3"/>
  <c r="JV1" i="3"/>
  <c r="JW57" i="3"/>
  <c r="JW1" i="3"/>
  <c r="JX55" i="3"/>
  <c r="JX56" i="3"/>
  <c r="JX58" i="3"/>
  <c r="JX50" i="3"/>
  <c r="JY52" i="3"/>
  <c r="JY54" i="3"/>
  <c r="KA9" i="3"/>
  <c r="KA53" i="3"/>
  <c r="JZ8" i="3"/>
  <c r="JZ3" i="3"/>
  <c r="JX51" i="3"/>
  <c r="JX57" i="3"/>
  <c r="JY55" i="3"/>
  <c r="JY56" i="3"/>
  <c r="JY58" i="3"/>
  <c r="JY50" i="3"/>
  <c r="JZ52" i="3"/>
  <c r="JZ54" i="3"/>
  <c r="KB9" i="3"/>
  <c r="KB53" i="3"/>
  <c r="KA8" i="3"/>
  <c r="KA3" i="3"/>
  <c r="JX1" i="3"/>
  <c r="JY51" i="3"/>
  <c r="JY57" i="3"/>
  <c r="JZ55" i="3"/>
  <c r="JZ56" i="3"/>
  <c r="JZ58" i="3"/>
  <c r="JZ50" i="3"/>
  <c r="KA52" i="3"/>
  <c r="KA54" i="3"/>
  <c r="KC9" i="3"/>
  <c r="KC53" i="3"/>
  <c r="KB8" i="3"/>
  <c r="KB3" i="3"/>
  <c r="JY1" i="3"/>
  <c r="JZ51" i="3"/>
  <c r="JZ57" i="3"/>
  <c r="KA55" i="3"/>
  <c r="KA56" i="3"/>
  <c r="KA58" i="3"/>
  <c r="KA50" i="3"/>
  <c r="KB52" i="3"/>
  <c r="KB54" i="3"/>
  <c r="KD9" i="3"/>
  <c r="KD53" i="3"/>
  <c r="KC8" i="3"/>
  <c r="KC3" i="3"/>
  <c r="JZ1" i="3"/>
  <c r="KA51" i="3"/>
  <c r="KA57" i="3"/>
  <c r="KA1" i="3"/>
  <c r="KB55" i="3"/>
  <c r="KB56" i="3"/>
  <c r="KB58" i="3"/>
  <c r="KB50" i="3"/>
  <c r="KC52" i="3"/>
  <c r="KC54" i="3"/>
  <c r="KE9" i="3"/>
  <c r="KE53" i="3"/>
  <c r="KD8" i="3"/>
  <c r="KD3" i="3"/>
  <c r="KB51" i="3"/>
  <c r="KB57" i="3"/>
  <c r="KC55" i="3"/>
  <c r="KC56" i="3"/>
  <c r="KC58" i="3"/>
  <c r="KC50" i="3"/>
  <c r="KD52" i="3"/>
  <c r="KD54" i="3"/>
  <c r="KF9" i="3"/>
  <c r="KF53" i="3"/>
  <c r="KE8" i="3"/>
  <c r="KE3" i="3"/>
  <c r="KB1" i="3"/>
  <c r="KC51" i="3"/>
  <c r="KC57" i="3"/>
  <c r="KC1" i="3"/>
  <c r="KD55" i="3"/>
  <c r="KD56" i="3"/>
  <c r="KD58" i="3"/>
  <c r="KD50" i="3"/>
  <c r="KE52" i="3"/>
  <c r="KE54" i="3"/>
  <c r="KG9" i="3"/>
  <c r="KG53" i="3"/>
  <c r="KF8" i="3"/>
  <c r="KF3" i="3"/>
  <c r="KD51" i="3"/>
  <c r="KD57" i="3"/>
  <c r="KD1" i="3"/>
  <c r="KE55" i="3"/>
  <c r="KE56" i="3"/>
  <c r="KE58" i="3"/>
  <c r="KE50" i="3"/>
  <c r="KF52" i="3"/>
  <c r="KF54" i="3"/>
  <c r="KH9" i="3"/>
  <c r="KH53" i="3"/>
  <c r="KG8" i="3"/>
  <c r="KG3" i="3"/>
  <c r="KE51" i="3"/>
  <c r="KE57" i="3"/>
  <c r="KE1" i="3"/>
  <c r="KF55" i="3"/>
  <c r="KF56" i="3"/>
  <c r="KF58" i="3"/>
  <c r="KF50" i="3"/>
  <c r="KG52" i="3"/>
  <c r="KG54" i="3"/>
  <c r="KI9" i="3"/>
  <c r="KI53" i="3"/>
  <c r="KH8" i="3"/>
  <c r="KH3" i="3"/>
  <c r="KF51" i="3"/>
  <c r="KF57" i="3"/>
  <c r="KF1" i="3"/>
  <c r="KG55" i="3"/>
  <c r="KG56" i="3"/>
  <c r="KG58" i="3"/>
  <c r="KG50" i="3"/>
  <c r="KH52" i="3"/>
  <c r="KH54" i="3"/>
  <c r="KJ9" i="3"/>
  <c r="KJ53" i="3"/>
  <c r="KI8" i="3"/>
  <c r="KI3" i="3"/>
  <c r="KG51" i="3"/>
  <c r="KG57" i="3"/>
  <c r="KH55" i="3"/>
  <c r="KH56" i="3"/>
  <c r="KH58" i="3"/>
  <c r="KH50" i="3"/>
  <c r="KI52" i="3"/>
  <c r="KI54" i="3"/>
  <c r="KK9" i="3"/>
  <c r="KK53" i="3"/>
  <c r="KJ8" i="3"/>
  <c r="KJ3" i="3"/>
  <c r="KG1" i="3"/>
  <c r="KH51" i="3"/>
  <c r="KH57" i="3"/>
  <c r="KI55" i="3"/>
  <c r="KI56" i="3"/>
  <c r="KI58" i="3"/>
  <c r="KI50" i="3"/>
  <c r="KJ52" i="3"/>
  <c r="KJ54" i="3"/>
  <c r="KL9" i="3"/>
  <c r="KL53" i="3"/>
  <c r="KK8" i="3"/>
  <c r="KK3" i="3"/>
  <c r="KH1" i="3"/>
  <c r="KI51" i="3"/>
  <c r="KI57" i="3"/>
  <c r="KJ55" i="3"/>
  <c r="KJ56" i="3"/>
  <c r="KJ58" i="3"/>
  <c r="KJ50" i="3"/>
  <c r="KK52" i="3"/>
  <c r="KK54" i="3"/>
  <c r="KM9" i="3"/>
  <c r="KM53" i="3"/>
  <c r="KL8" i="3"/>
  <c r="KL3" i="3"/>
  <c r="KI1" i="3"/>
  <c r="KJ51" i="3"/>
  <c r="KJ57" i="3"/>
  <c r="KJ1" i="3"/>
  <c r="KK55" i="3"/>
  <c r="KK56" i="3"/>
  <c r="KK58" i="3"/>
  <c r="KK50" i="3"/>
  <c r="KL52" i="3"/>
  <c r="KL54" i="3"/>
  <c r="KN9" i="3"/>
  <c r="KN53" i="3"/>
  <c r="KM8" i="3"/>
  <c r="KM3" i="3"/>
  <c r="KK51" i="3"/>
  <c r="KK57" i="3"/>
  <c r="KK1" i="3"/>
  <c r="KL55" i="3"/>
  <c r="KL56" i="3"/>
  <c r="KL58" i="3"/>
  <c r="KL50" i="3"/>
  <c r="KM52" i="3"/>
  <c r="KM54" i="3"/>
  <c r="KO9" i="3"/>
  <c r="KO53" i="3"/>
  <c r="KN8" i="3"/>
  <c r="KN3" i="3"/>
  <c r="KL51" i="3"/>
  <c r="KL57" i="3"/>
  <c r="KL1" i="3"/>
  <c r="KM55" i="3"/>
  <c r="KM56" i="3"/>
  <c r="KM58" i="3"/>
  <c r="KM50" i="3"/>
  <c r="KN52" i="3"/>
  <c r="KN54" i="3"/>
  <c r="KP9" i="3"/>
  <c r="KP53" i="3"/>
  <c r="KO8" i="3"/>
  <c r="KO3" i="3"/>
  <c r="KM51" i="3"/>
  <c r="KM57" i="3"/>
  <c r="KN55" i="3"/>
  <c r="KN56" i="3"/>
  <c r="KN58" i="3"/>
  <c r="KN50" i="3"/>
  <c r="KO52" i="3"/>
  <c r="KO54" i="3"/>
  <c r="KQ9" i="3"/>
  <c r="KQ53" i="3"/>
  <c r="KP8" i="3"/>
  <c r="KP3" i="3"/>
  <c r="KM1" i="3"/>
  <c r="KN51" i="3"/>
  <c r="KN57" i="3"/>
  <c r="KN1" i="3"/>
  <c r="KO55" i="3"/>
  <c r="KO56" i="3"/>
  <c r="KO58" i="3"/>
  <c r="KO50" i="3"/>
  <c r="KP52" i="3"/>
  <c r="KP54" i="3"/>
  <c r="KR9" i="3"/>
  <c r="KR53" i="3"/>
  <c r="KQ8" i="3"/>
  <c r="KQ3" i="3"/>
  <c r="KO51" i="3"/>
  <c r="KO57" i="3"/>
  <c r="KP55" i="3"/>
  <c r="KP56" i="3"/>
  <c r="KP58" i="3"/>
  <c r="KP50" i="3"/>
  <c r="KQ52" i="3"/>
  <c r="KQ54" i="3"/>
  <c r="KS9" i="3"/>
  <c r="KS53" i="3"/>
  <c r="KR8" i="3"/>
  <c r="KR3" i="3"/>
  <c r="KO1" i="3"/>
  <c r="KP51" i="3"/>
  <c r="KP57" i="3"/>
  <c r="KQ55" i="3"/>
  <c r="KQ56" i="3"/>
  <c r="KQ58" i="3"/>
  <c r="KQ50" i="3"/>
  <c r="KR52" i="3"/>
  <c r="KR54" i="3"/>
  <c r="KT9" i="3"/>
  <c r="KT53" i="3"/>
  <c r="KS8" i="3"/>
  <c r="KS3" i="3"/>
  <c r="KP1" i="3"/>
  <c r="KQ51" i="3"/>
  <c r="KQ57" i="3"/>
  <c r="KQ1" i="3"/>
  <c r="KR55" i="3"/>
  <c r="KR56" i="3"/>
  <c r="KR58" i="3"/>
  <c r="KR50" i="3"/>
  <c r="KS52" i="3"/>
  <c r="KS54" i="3"/>
  <c r="KU9" i="3"/>
  <c r="KU53" i="3"/>
  <c r="KT8" i="3"/>
  <c r="KT3" i="3"/>
  <c r="KR51" i="3"/>
  <c r="KR57" i="3"/>
  <c r="KS55" i="3"/>
  <c r="KS56" i="3"/>
  <c r="KS58" i="3"/>
  <c r="KS50" i="3"/>
  <c r="KT52" i="3"/>
  <c r="KT54" i="3"/>
  <c r="KV9" i="3"/>
  <c r="KV53" i="3"/>
  <c r="KU8" i="3"/>
  <c r="KU3" i="3"/>
  <c r="KS51" i="3"/>
  <c r="KR1" i="3"/>
  <c r="KS57" i="3"/>
  <c r="KS1" i="3"/>
  <c r="KT55" i="3"/>
  <c r="KT56" i="3"/>
  <c r="KT58" i="3"/>
  <c r="KT50" i="3"/>
  <c r="KT51" i="3"/>
  <c r="KU54" i="3"/>
  <c r="KW9" i="3"/>
  <c r="KW53" i="3"/>
  <c r="KV8" i="3"/>
  <c r="KV3" i="3"/>
  <c r="KU52" i="3"/>
  <c r="KT57" i="3"/>
  <c r="KT1" i="3"/>
  <c r="KU55" i="3"/>
  <c r="KU56" i="3"/>
  <c r="KU58" i="3"/>
  <c r="KU50" i="3"/>
  <c r="KV52" i="3"/>
  <c r="KV54" i="3"/>
  <c r="KX9" i="3"/>
  <c r="KX53" i="3"/>
  <c r="KW8" i="3"/>
  <c r="KW3" i="3"/>
  <c r="KU51" i="3"/>
  <c r="KU57" i="3"/>
  <c r="KU1" i="3"/>
  <c r="KV55" i="3"/>
  <c r="KV56" i="3"/>
  <c r="KV58" i="3"/>
  <c r="KV50" i="3"/>
  <c r="KV51" i="3"/>
  <c r="KW54" i="3"/>
  <c r="KY9" i="3"/>
  <c r="KY53" i="3"/>
  <c r="KX8" i="3"/>
  <c r="KX3" i="3"/>
  <c r="KW52" i="3"/>
  <c r="KV57" i="3"/>
  <c r="KV1" i="3"/>
  <c r="KW55" i="3"/>
  <c r="KW56" i="3"/>
  <c r="KW58" i="3"/>
  <c r="KW50" i="3"/>
  <c r="KX52" i="3"/>
  <c r="KX54" i="3"/>
  <c r="KZ9" i="3"/>
  <c r="KZ53" i="3"/>
  <c r="KY8" i="3"/>
  <c r="KY3" i="3"/>
  <c r="KW51" i="3"/>
  <c r="KW57" i="3"/>
  <c r="KW1" i="3"/>
  <c r="KX55" i="3"/>
  <c r="KX56" i="3"/>
  <c r="KX58" i="3"/>
  <c r="KX50" i="3"/>
  <c r="KY52" i="3"/>
  <c r="KY54" i="3"/>
  <c r="LA9" i="3"/>
  <c r="LA53" i="3"/>
  <c r="KZ8" i="3"/>
  <c r="KZ3" i="3"/>
  <c r="KX51" i="3"/>
  <c r="KX57" i="3"/>
  <c r="KX1" i="3"/>
  <c r="KY55" i="3"/>
  <c r="KY56" i="3"/>
  <c r="KY58" i="3"/>
  <c r="KY50" i="3"/>
  <c r="KZ52" i="3"/>
  <c r="KZ54" i="3"/>
  <c r="LB9" i="3"/>
  <c r="LB53" i="3"/>
  <c r="LA8" i="3"/>
  <c r="LA3" i="3"/>
  <c r="KY51" i="3"/>
  <c r="KY57" i="3"/>
  <c r="KZ55" i="3"/>
  <c r="KZ56" i="3"/>
  <c r="KZ58" i="3"/>
  <c r="KZ50" i="3"/>
  <c r="KZ51" i="3"/>
  <c r="LA54" i="3"/>
  <c r="LC9" i="3"/>
  <c r="LC53" i="3"/>
  <c r="LB8" i="3"/>
  <c r="LB3" i="3"/>
  <c r="KY1" i="3"/>
  <c r="LA52" i="3"/>
  <c r="KZ57" i="3"/>
  <c r="KZ1" i="3"/>
  <c r="LA55" i="3"/>
  <c r="LA56" i="3"/>
  <c r="LA58" i="3"/>
  <c r="LA50" i="3"/>
  <c r="LA51" i="3"/>
  <c r="LB54" i="3"/>
  <c r="LD9" i="3"/>
  <c r="LD53" i="3"/>
  <c r="LC8" i="3"/>
  <c r="LC3" i="3"/>
  <c r="LB52" i="3"/>
  <c r="LA57" i="3"/>
  <c r="LA1" i="3"/>
  <c r="LB55" i="3"/>
  <c r="LB56" i="3"/>
  <c r="LB58" i="3"/>
  <c r="LB50" i="3"/>
  <c r="LC52" i="3"/>
  <c r="LC54" i="3"/>
  <c r="LE9" i="3"/>
  <c r="LE53" i="3"/>
  <c r="LD8" i="3"/>
  <c r="LD3" i="3"/>
  <c r="LB51" i="3"/>
  <c r="LB57" i="3"/>
  <c r="LB1" i="3"/>
  <c r="LC55" i="3"/>
  <c r="LC56" i="3"/>
  <c r="LC58" i="3"/>
  <c r="LC50" i="3"/>
  <c r="LC51" i="3"/>
  <c r="LD54" i="3"/>
  <c r="LF9" i="3"/>
  <c r="LF53" i="3"/>
  <c r="LE8" i="3"/>
  <c r="LE3" i="3"/>
  <c r="LD52" i="3"/>
  <c r="LC57" i="3"/>
  <c r="LC1" i="3"/>
  <c r="LD55" i="3"/>
  <c r="LD56" i="3"/>
  <c r="LD58" i="3"/>
  <c r="LD50" i="3"/>
  <c r="LE52" i="3"/>
  <c r="LE54" i="3"/>
  <c r="LG9" i="3"/>
  <c r="LG53" i="3"/>
  <c r="LF8" i="3"/>
  <c r="LF3" i="3"/>
  <c r="LD51" i="3"/>
  <c r="LD57" i="3"/>
  <c r="LD1" i="3"/>
  <c r="LE55" i="3"/>
  <c r="LE56" i="3"/>
  <c r="LE58" i="3"/>
  <c r="LE50" i="3"/>
  <c r="LE51" i="3"/>
  <c r="LF54" i="3"/>
  <c r="LH9" i="3"/>
  <c r="LH53" i="3"/>
  <c r="LG8" i="3"/>
  <c r="LG3" i="3"/>
  <c r="LF52" i="3"/>
  <c r="LE57" i="3"/>
  <c r="LE1" i="3"/>
  <c r="LF55" i="3"/>
  <c r="LF56" i="3"/>
  <c r="LF58" i="3"/>
  <c r="LF50" i="3"/>
  <c r="LG52" i="3"/>
  <c r="LG54" i="3"/>
  <c r="LI9" i="3"/>
  <c r="LI53" i="3"/>
  <c r="LH8" i="3"/>
  <c r="LH3" i="3"/>
  <c r="LF51" i="3"/>
  <c r="LF57" i="3"/>
  <c r="LG55" i="3"/>
  <c r="LG56" i="3"/>
  <c r="LG58" i="3"/>
  <c r="LG50" i="3"/>
  <c r="LH52" i="3"/>
  <c r="LH54" i="3"/>
  <c r="LJ9" i="3"/>
  <c r="LJ53" i="3"/>
  <c r="LI8" i="3"/>
  <c r="LI3" i="3"/>
  <c r="LF1" i="3"/>
  <c r="LG51" i="3"/>
  <c r="LG57" i="3"/>
  <c r="LH55" i="3"/>
  <c r="LH56" i="3"/>
  <c r="LH58" i="3"/>
  <c r="LH50" i="3"/>
  <c r="LI52" i="3"/>
  <c r="LI54" i="3"/>
  <c r="LK9" i="3"/>
  <c r="LK53" i="3"/>
  <c r="LJ8" i="3"/>
  <c r="LJ3" i="3"/>
  <c r="LG1" i="3"/>
  <c r="LH51" i="3"/>
  <c r="LH57" i="3"/>
  <c r="LH1" i="3"/>
  <c r="LI55" i="3"/>
  <c r="LI56" i="3"/>
  <c r="LI58" i="3"/>
  <c r="LI50" i="3"/>
  <c r="LJ52" i="3"/>
  <c r="LJ54" i="3"/>
  <c r="LL9" i="3"/>
  <c r="LL53" i="3"/>
  <c r="LK8" i="3"/>
  <c r="LK3" i="3"/>
  <c r="LI51" i="3"/>
  <c r="LI57" i="3"/>
  <c r="LJ55" i="3"/>
  <c r="LJ56" i="3"/>
  <c r="LJ58" i="3"/>
  <c r="LJ50" i="3"/>
  <c r="LJ51" i="3"/>
  <c r="LK54" i="3"/>
  <c r="LM9" i="3"/>
  <c r="LM53" i="3"/>
  <c r="LL8" i="3"/>
  <c r="LL3" i="3"/>
  <c r="LI1" i="3"/>
  <c r="LK52" i="3"/>
  <c r="LJ57" i="3"/>
  <c r="LJ1" i="3"/>
  <c r="LK55" i="3"/>
  <c r="LK56" i="3"/>
  <c r="LK58" i="3"/>
  <c r="LK50" i="3"/>
  <c r="LL52" i="3"/>
  <c r="LL54" i="3"/>
  <c r="LN9" i="3"/>
  <c r="LN53" i="3"/>
  <c r="LM8" i="3"/>
  <c r="LM3" i="3"/>
  <c r="LK51" i="3"/>
  <c r="LK57" i="3"/>
  <c r="LK1" i="3"/>
  <c r="LL55" i="3"/>
  <c r="LL56" i="3"/>
  <c r="LL58" i="3"/>
  <c r="LL50" i="3"/>
  <c r="LM52" i="3"/>
  <c r="LM54" i="3"/>
  <c r="LO9" i="3"/>
  <c r="LO53" i="3"/>
  <c r="LN8" i="3"/>
  <c r="LN3" i="3"/>
  <c r="LL51" i="3"/>
  <c r="LL57" i="3"/>
  <c r="LM55" i="3"/>
  <c r="LM56" i="3"/>
  <c r="LM58" i="3"/>
  <c r="LM50" i="3"/>
  <c r="LN52" i="3"/>
  <c r="LN54" i="3"/>
  <c r="LP9" i="3"/>
  <c r="LP53" i="3"/>
  <c r="LO8" i="3"/>
  <c r="LO3" i="3"/>
  <c r="LL1" i="3"/>
  <c r="LM51" i="3"/>
  <c r="LM57" i="3"/>
  <c r="LM1" i="3"/>
  <c r="LN55" i="3"/>
  <c r="LN56" i="3"/>
  <c r="LN58" i="3"/>
  <c r="LN50" i="3"/>
  <c r="LO52" i="3"/>
  <c r="LO54" i="3"/>
  <c r="LQ9" i="3"/>
  <c r="LQ53" i="3"/>
  <c r="LP8" i="3"/>
  <c r="LP3" i="3"/>
  <c r="LN51" i="3"/>
  <c r="LN57" i="3"/>
  <c r="LN1" i="3"/>
  <c r="LO55" i="3"/>
  <c r="LO56" i="3"/>
  <c r="LO58" i="3"/>
  <c r="LO50" i="3"/>
  <c r="LP52" i="3"/>
  <c r="LP54" i="3"/>
  <c r="LR9" i="3"/>
  <c r="LR53" i="3"/>
  <c r="LQ8" i="3"/>
  <c r="LQ3" i="3"/>
  <c r="LO51" i="3"/>
  <c r="LO57" i="3"/>
  <c r="LO1" i="3"/>
  <c r="LP55" i="3"/>
  <c r="LP56" i="3"/>
  <c r="LP58" i="3"/>
  <c r="LP50" i="3"/>
  <c r="LQ52" i="3"/>
  <c r="LQ54" i="3"/>
  <c r="LS9" i="3"/>
  <c r="LS53" i="3"/>
  <c r="LR8" i="3"/>
  <c r="LR3" i="3"/>
  <c r="LP51" i="3"/>
  <c r="LP57" i="3"/>
  <c r="LP1" i="3"/>
  <c r="LQ55" i="3"/>
  <c r="LQ56" i="3"/>
  <c r="LQ58" i="3"/>
  <c r="LQ50" i="3"/>
  <c r="LQ51" i="3"/>
  <c r="LR54" i="3"/>
  <c r="LT9" i="3"/>
  <c r="LT53" i="3"/>
  <c r="LS8" i="3"/>
  <c r="LS3" i="3"/>
  <c r="LR52" i="3"/>
  <c r="LQ57" i="3"/>
  <c r="LQ1" i="3"/>
  <c r="LR55" i="3"/>
  <c r="LR56" i="3"/>
  <c r="LR58" i="3"/>
  <c r="LR50" i="3"/>
  <c r="LS52" i="3"/>
  <c r="LS54" i="3"/>
  <c r="LU9" i="3"/>
  <c r="LU53" i="3"/>
  <c r="LT8" i="3"/>
  <c r="LT3" i="3"/>
  <c r="LR51" i="3"/>
  <c r="LR57" i="3"/>
  <c r="LR1" i="3"/>
  <c r="LS55" i="3"/>
  <c r="LS56" i="3"/>
  <c r="LS58" i="3"/>
  <c r="LS50" i="3"/>
  <c r="LS51" i="3"/>
  <c r="LT54" i="3"/>
  <c r="LV9" i="3"/>
  <c r="LV53" i="3"/>
  <c r="LU8" i="3"/>
  <c r="LU3" i="3"/>
  <c r="LT52" i="3"/>
  <c r="LS57" i="3"/>
  <c r="LS1" i="3"/>
  <c r="LT55" i="3"/>
  <c r="LT56" i="3"/>
  <c r="LT58" i="3"/>
  <c r="LT50" i="3"/>
  <c r="LT51" i="3"/>
  <c r="LU54" i="3"/>
  <c r="LW9" i="3"/>
  <c r="LW53" i="3"/>
  <c r="LV8" i="3"/>
  <c r="LV3" i="3"/>
  <c r="LU52" i="3"/>
  <c r="LT57" i="3"/>
  <c r="LT1" i="3"/>
  <c r="LU55" i="3"/>
  <c r="LU56" i="3"/>
  <c r="LU58" i="3"/>
  <c r="LU50" i="3"/>
  <c r="LU51" i="3"/>
  <c r="LV54" i="3"/>
  <c r="LX9" i="3"/>
  <c r="LX53" i="3"/>
  <c r="LW8" i="3"/>
  <c r="LW3" i="3"/>
  <c r="LV52" i="3"/>
  <c r="LU57" i="3"/>
  <c r="LU1" i="3"/>
  <c r="LV55" i="3"/>
  <c r="LV56" i="3"/>
  <c r="LV58" i="3"/>
  <c r="LV50" i="3"/>
  <c r="LW52" i="3"/>
  <c r="LW54" i="3"/>
  <c r="LY9" i="3"/>
  <c r="LY53" i="3"/>
  <c r="LX8" i="3"/>
  <c r="LX3" i="3"/>
  <c r="LV51" i="3"/>
  <c r="LV57" i="3"/>
  <c r="LV1" i="3"/>
  <c r="LW55" i="3"/>
  <c r="LW56" i="3"/>
  <c r="LW58" i="3"/>
  <c r="LW50" i="3"/>
  <c r="LW51" i="3"/>
  <c r="LX54" i="3"/>
  <c r="LZ9" i="3"/>
  <c r="LZ53" i="3"/>
  <c r="LY8" i="3"/>
  <c r="LY3" i="3"/>
  <c r="LX52" i="3"/>
  <c r="LW57" i="3"/>
  <c r="LW1" i="3"/>
  <c r="LX55" i="3"/>
  <c r="LX56" i="3"/>
  <c r="LX58" i="3"/>
  <c r="LX50" i="3"/>
  <c r="LX51" i="3"/>
  <c r="LY54" i="3"/>
  <c r="MA9" i="3"/>
  <c r="MA53" i="3"/>
  <c r="LZ8" i="3"/>
  <c r="LZ3" i="3"/>
  <c r="LY52" i="3"/>
  <c r="LX57" i="3"/>
  <c r="LX1" i="3"/>
  <c r="LY55" i="3"/>
  <c r="LY56" i="3"/>
  <c r="LY58" i="3"/>
  <c r="LY50" i="3"/>
  <c r="LZ52" i="3"/>
  <c r="LZ54" i="3"/>
  <c r="MB9" i="3"/>
  <c r="MB53" i="3"/>
  <c r="MA8" i="3"/>
  <c r="MA3" i="3"/>
  <c r="LY51" i="3"/>
  <c r="LY57" i="3"/>
  <c r="LY1" i="3"/>
  <c r="LZ55" i="3"/>
  <c r="LZ56" i="3"/>
  <c r="LZ58" i="3"/>
  <c r="LZ50" i="3"/>
  <c r="MA52" i="3"/>
  <c r="MA54" i="3"/>
  <c r="MC9" i="3"/>
  <c r="MC53" i="3"/>
  <c r="MB8" i="3"/>
  <c r="MB3" i="3"/>
  <c r="LZ51" i="3"/>
  <c r="LZ57" i="3"/>
  <c r="LZ1" i="3"/>
  <c r="MA55" i="3"/>
  <c r="MA56" i="3"/>
  <c r="MA58" i="3"/>
  <c r="MA50" i="3"/>
  <c r="MA51" i="3"/>
  <c r="MB54" i="3"/>
  <c r="MD9" i="3"/>
  <c r="MD53" i="3"/>
  <c r="MC8" i="3"/>
  <c r="MC3" i="3"/>
  <c r="MB52" i="3"/>
  <c r="MA57" i="3"/>
  <c r="MA1" i="3"/>
  <c r="MB55" i="3"/>
  <c r="MB56" i="3"/>
  <c r="MB58" i="3"/>
  <c r="MB50" i="3"/>
  <c r="MC52" i="3"/>
  <c r="MC54" i="3"/>
  <c r="ME9" i="3"/>
  <c r="ME53" i="3"/>
  <c r="MD8" i="3"/>
  <c r="MD3" i="3"/>
  <c r="MB51" i="3"/>
  <c r="MB57" i="3"/>
  <c r="MB1" i="3"/>
  <c r="MC55" i="3"/>
  <c r="MC56" i="3"/>
  <c r="MC58" i="3"/>
  <c r="MC50" i="3"/>
  <c r="MD52" i="3"/>
  <c r="MD54" i="3"/>
  <c r="MF9" i="3"/>
  <c r="MF53" i="3"/>
  <c r="ME8" i="3"/>
  <c r="ME3" i="3"/>
  <c r="MC51" i="3"/>
  <c r="MC57" i="3"/>
  <c r="MC1" i="3"/>
  <c r="MD55" i="3"/>
  <c r="MD56" i="3"/>
  <c r="MD58" i="3"/>
  <c r="MD50" i="3"/>
  <c r="ME52" i="3"/>
  <c r="ME54" i="3"/>
  <c r="MG9" i="3"/>
  <c r="MG53" i="3"/>
  <c r="MF8" i="3"/>
  <c r="MF3" i="3"/>
  <c r="MD51" i="3"/>
  <c r="MD57" i="3"/>
  <c r="MD1" i="3"/>
  <c r="ME55" i="3"/>
  <c r="ME56" i="3"/>
  <c r="ME58" i="3"/>
  <c r="ME50" i="3"/>
  <c r="MF52" i="3"/>
  <c r="MF54" i="3"/>
  <c r="MH9" i="3"/>
  <c r="MH53" i="3"/>
  <c r="MG8" i="3"/>
  <c r="MG3" i="3"/>
  <c r="ME51" i="3"/>
  <c r="ME57" i="3"/>
  <c r="ME1" i="3"/>
  <c r="MF55" i="3"/>
  <c r="MF56" i="3"/>
  <c r="MF58" i="3"/>
  <c r="MF50" i="3"/>
  <c r="MG52" i="3"/>
  <c r="MG54" i="3"/>
  <c r="MI9" i="3"/>
  <c r="MI53" i="3"/>
  <c r="MH8" i="3"/>
  <c r="MH3" i="3"/>
  <c r="MF51" i="3"/>
  <c r="MF57" i="3"/>
  <c r="MF1" i="3"/>
  <c r="MG55" i="3"/>
  <c r="MG56" i="3"/>
  <c r="MG58" i="3"/>
  <c r="MG50" i="3"/>
  <c r="MH52" i="3"/>
  <c r="MH54" i="3"/>
  <c r="MJ9" i="3"/>
  <c r="MJ53" i="3"/>
  <c r="MI8" i="3"/>
  <c r="MI3" i="3"/>
  <c r="MG51" i="3"/>
  <c r="MG57" i="3"/>
  <c r="MG1" i="3"/>
  <c r="MH55" i="3"/>
  <c r="MH56" i="3"/>
  <c r="MH58" i="3"/>
  <c r="MH50" i="3"/>
  <c r="MI52" i="3"/>
  <c r="MI54" i="3"/>
  <c r="MK9" i="3"/>
  <c r="MK53" i="3"/>
  <c r="MJ8" i="3"/>
  <c r="MJ3" i="3"/>
  <c r="MH51" i="3"/>
  <c r="MH57" i="3"/>
  <c r="MH1" i="3"/>
  <c r="MI55" i="3"/>
  <c r="MI56" i="3"/>
  <c r="MI58" i="3"/>
  <c r="MI50" i="3"/>
  <c r="MJ52" i="3"/>
  <c r="MJ54" i="3"/>
  <c r="ML9" i="3"/>
  <c r="ML53" i="3"/>
  <c r="MK8" i="3"/>
  <c r="MK3" i="3"/>
  <c r="MI51" i="3"/>
  <c r="MI57" i="3"/>
  <c r="MI1" i="3"/>
  <c r="MJ55" i="3"/>
  <c r="MJ56" i="3"/>
  <c r="MJ58" i="3"/>
  <c r="MJ50" i="3"/>
  <c r="MK52" i="3"/>
  <c r="MK54" i="3"/>
  <c r="MM9" i="3"/>
  <c r="MM53" i="3"/>
  <c r="ML8" i="3"/>
  <c r="ML3" i="3"/>
  <c r="MJ51" i="3"/>
  <c r="MJ57" i="3"/>
  <c r="MJ1" i="3"/>
  <c r="MK55" i="3"/>
  <c r="MK56" i="3"/>
  <c r="MK58" i="3"/>
  <c r="MK50" i="3"/>
  <c r="ML52" i="3"/>
  <c r="ML54" i="3"/>
  <c r="MN9" i="3"/>
  <c r="MN53" i="3"/>
  <c r="MM8" i="3"/>
  <c r="MM3" i="3"/>
  <c r="MK51" i="3"/>
  <c r="MK57" i="3"/>
  <c r="MK1" i="3"/>
  <c r="ML55" i="3"/>
  <c r="ML56" i="3"/>
  <c r="ML58" i="3"/>
  <c r="ML50" i="3"/>
  <c r="MM52" i="3"/>
  <c r="MM54" i="3"/>
  <c r="MO9" i="3"/>
  <c r="MO53" i="3"/>
  <c r="MN8" i="3"/>
  <c r="MN3" i="3"/>
  <c r="ML51" i="3"/>
  <c r="ML57" i="3"/>
  <c r="MM55" i="3"/>
  <c r="MM56" i="3"/>
  <c r="MM58" i="3"/>
  <c r="MM50" i="3"/>
  <c r="MM51" i="3"/>
  <c r="MN54" i="3"/>
  <c r="MP9" i="3"/>
  <c r="MP53" i="3"/>
  <c r="MO8" i="3"/>
  <c r="MO3" i="3"/>
  <c r="ML1" i="3"/>
  <c r="MN52" i="3"/>
  <c r="MM57" i="3"/>
  <c r="MM1" i="3"/>
  <c r="MN55" i="3"/>
  <c r="MN56" i="3"/>
  <c r="MN58" i="3"/>
  <c r="MN50" i="3"/>
  <c r="MN51" i="3"/>
  <c r="MO54" i="3"/>
  <c r="MQ9" i="3"/>
  <c r="MQ53" i="3"/>
  <c r="MP8" i="3"/>
  <c r="MP3" i="3"/>
  <c r="MO52" i="3"/>
  <c r="MN57" i="3"/>
  <c r="MN1" i="3"/>
  <c r="MO55" i="3"/>
  <c r="MO56" i="3"/>
  <c r="MO58" i="3"/>
  <c r="MO50" i="3"/>
  <c r="MO51" i="3"/>
  <c r="MP54" i="3"/>
  <c r="MR9" i="3"/>
  <c r="MR53" i="3"/>
  <c r="MQ8" i="3"/>
  <c r="MQ3" i="3"/>
  <c r="MP52" i="3"/>
  <c r="MO57" i="3"/>
  <c r="MO1" i="3"/>
  <c r="MP55" i="3"/>
  <c r="MP56" i="3"/>
  <c r="MP58" i="3"/>
  <c r="MP50" i="3"/>
  <c r="MQ52" i="3"/>
  <c r="MQ54" i="3"/>
  <c r="MS9" i="3"/>
  <c r="MS53" i="3"/>
  <c r="MR8" i="3"/>
  <c r="MR3" i="3"/>
  <c r="MP51" i="3"/>
  <c r="MP57" i="3"/>
  <c r="MQ55" i="3"/>
  <c r="MQ56" i="3"/>
  <c r="MQ58" i="3"/>
  <c r="MQ50" i="3"/>
  <c r="MQ51" i="3"/>
  <c r="MR54" i="3"/>
  <c r="MT9" i="3"/>
  <c r="MT53" i="3"/>
  <c r="MS8" i="3"/>
  <c r="MS3" i="3"/>
  <c r="MR52" i="3"/>
  <c r="MP1" i="3"/>
  <c r="MQ57" i="3"/>
  <c r="MQ1" i="3"/>
  <c r="MR55" i="3"/>
  <c r="MR56" i="3"/>
  <c r="MR58" i="3"/>
  <c r="MR50" i="3"/>
  <c r="MR51" i="3"/>
  <c r="MS54" i="3"/>
  <c r="MU9" i="3"/>
  <c r="MU53" i="3"/>
  <c r="MT8" i="3"/>
  <c r="MT3" i="3"/>
  <c r="MS52" i="3"/>
  <c r="MR57" i="3"/>
  <c r="MR1" i="3"/>
  <c r="MS55" i="3"/>
  <c r="MS56" i="3"/>
  <c r="MS58" i="3"/>
  <c r="MS50" i="3"/>
  <c r="MS51" i="3"/>
  <c r="MT54" i="3"/>
  <c r="MV9" i="3"/>
  <c r="MV53" i="3"/>
  <c r="MU8" i="3"/>
  <c r="MU3" i="3"/>
  <c r="MT52" i="3"/>
  <c r="MS57" i="3"/>
  <c r="MS1" i="3"/>
  <c r="MT55" i="3"/>
  <c r="MT56" i="3"/>
  <c r="MT58" i="3"/>
  <c r="MT50" i="3"/>
  <c r="MU52" i="3"/>
  <c r="MU54" i="3"/>
  <c r="MW9" i="3"/>
  <c r="MW53" i="3"/>
  <c r="MV8" i="3"/>
  <c r="MV3" i="3"/>
  <c r="MT51" i="3"/>
  <c r="MT57" i="3"/>
  <c r="MU55" i="3"/>
  <c r="MU56" i="3"/>
  <c r="MU58" i="3"/>
  <c r="MU50" i="3"/>
  <c r="MV52" i="3"/>
  <c r="MV54" i="3"/>
  <c r="MX9" i="3"/>
  <c r="MX53" i="3"/>
  <c r="MW8" i="3"/>
  <c r="MW3" i="3"/>
  <c r="MT1" i="3"/>
  <c r="MU51" i="3"/>
  <c r="MU57" i="3"/>
  <c r="MV55" i="3"/>
  <c r="MV56" i="3"/>
  <c r="MV58" i="3"/>
  <c r="MV50" i="3"/>
  <c r="MW52" i="3"/>
  <c r="MW54" i="3"/>
  <c r="MY9" i="3"/>
  <c r="MY53" i="3"/>
  <c r="MX8" i="3"/>
  <c r="MX3" i="3"/>
  <c r="MU1" i="3"/>
  <c r="MV51" i="3"/>
  <c r="MV57" i="3"/>
  <c r="MV1" i="3"/>
  <c r="MW55" i="3"/>
  <c r="MW56" i="3"/>
  <c r="MW58" i="3"/>
  <c r="MW50" i="3"/>
  <c r="MX52" i="3"/>
  <c r="MX54" i="3"/>
  <c r="MZ9" i="3"/>
  <c r="MZ53" i="3"/>
  <c r="MY8" i="3"/>
  <c r="MY3" i="3"/>
  <c r="MW51" i="3"/>
  <c r="MW57" i="3"/>
  <c r="MX55" i="3"/>
  <c r="MX56" i="3"/>
  <c r="MX58" i="3"/>
  <c r="MX50" i="3"/>
  <c r="MY52" i="3"/>
  <c r="MY54" i="3"/>
  <c r="NA9" i="3"/>
  <c r="NA53" i="3"/>
  <c r="MZ8" i="3"/>
  <c r="MZ3" i="3"/>
  <c r="MW1" i="3"/>
  <c r="MX51" i="3"/>
  <c r="MX57" i="3"/>
  <c r="MY55" i="3"/>
  <c r="MY56" i="3"/>
  <c r="MY58" i="3"/>
  <c r="MY50" i="3"/>
  <c r="MZ52" i="3"/>
  <c r="MZ54" i="3"/>
  <c r="NB9" i="3"/>
  <c r="NB53" i="3"/>
  <c r="NA8" i="3"/>
  <c r="NA3" i="3"/>
  <c r="MX1" i="3"/>
  <c r="MY51" i="3"/>
  <c r="MY57" i="3"/>
  <c r="MY1" i="3"/>
  <c r="MZ55" i="3"/>
  <c r="MZ56" i="3"/>
  <c r="MZ58" i="3"/>
  <c r="MZ50" i="3"/>
  <c r="MZ51" i="3"/>
  <c r="NA54" i="3"/>
  <c r="NC9" i="3"/>
  <c r="NC53" i="3"/>
  <c r="NB8" i="3"/>
  <c r="NB3" i="3"/>
  <c r="NA52" i="3"/>
  <c r="MZ57" i="3"/>
  <c r="MZ1" i="3"/>
  <c r="NA55" i="3"/>
  <c r="NA56" i="3"/>
  <c r="NA58" i="3"/>
  <c r="NA50" i="3"/>
  <c r="NA51" i="3"/>
  <c r="NB54" i="3"/>
  <c r="ND9" i="3"/>
  <c r="ND53" i="3"/>
  <c r="NC8" i="3"/>
  <c r="NC3" i="3"/>
  <c r="NB52" i="3"/>
  <c r="NA57" i="3"/>
  <c r="NA1" i="3"/>
  <c r="NB55" i="3"/>
  <c r="NB56" i="3"/>
  <c r="NB58" i="3"/>
  <c r="NB50" i="3"/>
  <c r="NC52" i="3"/>
  <c r="NC54" i="3"/>
  <c r="NE9" i="3"/>
  <c r="NE53" i="3"/>
  <c r="ND8" i="3"/>
  <c r="ND3" i="3"/>
  <c r="NB51" i="3"/>
  <c r="NB57" i="3"/>
  <c r="NB1" i="3"/>
  <c r="NC55" i="3"/>
  <c r="NC56" i="3"/>
  <c r="NC58" i="3"/>
  <c r="NC50" i="3"/>
  <c r="ND52" i="3"/>
  <c r="ND54" i="3"/>
  <c r="NF9" i="3"/>
  <c r="NF53" i="3"/>
  <c r="NE8" i="3"/>
  <c r="NE3" i="3"/>
  <c r="NC51" i="3"/>
  <c r="NC57" i="3"/>
  <c r="NC1" i="3"/>
  <c r="ND55" i="3"/>
  <c r="ND56" i="3"/>
  <c r="ND58" i="3"/>
  <c r="ND50" i="3"/>
  <c r="NE52" i="3"/>
  <c r="NE54" i="3"/>
  <c r="NG9" i="3"/>
  <c r="NG53" i="3"/>
  <c r="NF8" i="3"/>
  <c r="NF3" i="3"/>
  <c r="ND51" i="3"/>
  <c r="ND57" i="3"/>
  <c r="ND1" i="3"/>
  <c r="NE55" i="3"/>
  <c r="NE56" i="3"/>
  <c r="NE58" i="3"/>
  <c r="NE50" i="3"/>
  <c r="NE51" i="3"/>
  <c r="NF54" i="3"/>
  <c r="NH9" i="3"/>
  <c r="NH53" i="3"/>
  <c r="NG8" i="3"/>
  <c r="NG3" i="3"/>
  <c r="NF52" i="3"/>
  <c r="NE57" i="3"/>
  <c r="NE1" i="3"/>
  <c r="NF55" i="3"/>
  <c r="NF56" i="3"/>
  <c r="NF58" i="3"/>
  <c r="NF50" i="3"/>
  <c r="NG52" i="3"/>
  <c r="NG54" i="3"/>
  <c r="NI9" i="3"/>
  <c r="NI53" i="3"/>
  <c r="NH8" i="3"/>
  <c r="NH3" i="3"/>
  <c r="NF51" i="3"/>
  <c r="NF57" i="3"/>
  <c r="NF1" i="3"/>
  <c r="NG55" i="3"/>
  <c r="NG56" i="3"/>
  <c r="NG58" i="3"/>
  <c r="NG50" i="3"/>
  <c r="NH52" i="3"/>
  <c r="NH54" i="3"/>
  <c r="NJ9" i="3"/>
  <c r="NJ53" i="3"/>
  <c r="NI8" i="3"/>
  <c r="NI3" i="3"/>
  <c r="NG51" i="3"/>
  <c r="NG57" i="3"/>
  <c r="NG1" i="3"/>
  <c r="NH55" i="3"/>
  <c r="NH56" i="3"/>
  <c r="NH58" i="3"/>
  <c r="NH50" i="3"/>
  <c r="NI52" i="3"/>
  <c r="NI54" i="3"/>
  <c r="NK9" i="3"/>
  <c r="NK53" i="3"/>
  <c r="NJ8" i="3"/>
  <c r="NJ3" i="3"/>
  <c r="NH51" i="3"/>
  <c r="NH57" i="3"/>
  <c r="NH1" i="3"/>
  <c r="NI55" i="3"/>
  <c r="NI56" i="3"/>
  <c r="NI58" i="3"/>
  <c r="NI50" i="3"/>
  <c r="NJ52" i="3"/>
  <c r="NJ54" i="3"/>
  <c r="NL9" i="3"/>
  <c r="NL53" i="3"/>
  <c r="NK8" i="3"/>
  <c r="NK3" i="3"/>
  <c r="NI51" i="3"/>
  <c r="NI57" i="3"/>
  <c r="NJ55" i="3"/>
  <c r="NJ56" i="3"/>
  <c r="NJ58" i="3"/>
  <c r="NJ50" i="3"/>
  <c r="NK52" i="3"/>
  <c r="NK54" i="3"/>
  <c r="NM9" i="3"/>
  <c r="NM53" i="3"/>
  <c r="NL8" i="3"/>
  <c r="NL3" i="3"/>
  <c r="NI1" i="3"/>
  <c r="NJ51" i="3"/>
  <c r="NJ57" i="3"/>
  <c r="NJ1" i="3"/>
  <c r="NK55" i="3"/>
  <c r="NK56" i="3"/>
  <c r="NK58" i="3"/>
  <c r="NK50" i="3"/>
  <c r="NL52" i="3"/>
  <c r="NL54" i="3"/>
  <c r="NN9" i="3"/>
  <c r="NN53" i="3"/>
  <c r="NM8" i="3"/>
  <c r="NM3" i="3"/>
  <c r="NK51" i="3"/>
  <c r="NK57" i="3"/>
  <c r="NL55" i="3"/>
  <c r="NL56" i="3"/>
  <c r="NL58" i="3"/>
  <c r="NL50" i="3"/>
  <c r="NM52" i="3"/>
  <c r="NM54" i="3"/>
  <c r="NO9" i="3"/>
  <c r="NO53" i="3"/>
  <c r="NN8" i="3"/>
  <c r="NN3" i="3"/>
  <c r="NK1" i="3"/>
  <c r="NL51" i="3"/>
  <c r="NL57" i="3"/>
  <c r="NM55" i="3"/>
  <c r="NM56" i="3"/>
  <c r="NM58" i="3"/>
  <c r="NM50" i="3"/>
  <c r="NN52" i="3"/>
  <c r="NN54" i="3"/>
  <c r="NP9" i="3"/>
  <c r="NP53" i="3"/>
  <c r="NO8" i="3"/>
  <c r="NO3" i="3"/>
  <c r="NL1" i="3"/>
  <c r="NM51" i="3"/>
  <c r="NM57" i="3"/>
  <c r="NM1" i="3"/>
  <c r="NN55" i="3"/>
  <c r="NN56" i="3"/>
  <c r="NN58" i="3"/>
  <c r="NN50" i="3"/>
  <c r="NO52" i="3"/>
  <c r="NO54" i="3"/>
  <c r="NQ9" i="3"/>
  <c r="NQ53" i="3"/>
  <c r="NP8" i="3"/>
  <c r="NP3" i="3"/>
  <c r="NN51" i="3"/>
  <c r="NN57" i="3"/>
  <c r="NN1" i="3"/>
  <c r="NO55" i="3"/>
  <c r="NO56" i="3"/>
  <c r="NO58" i="3"/>
  <c r="NO50" i="3"/>
  <c r="NP52" i="3"/>
  <c r="NP54" i="3"/>
  <c r="NR9" i="3"/>
  <c r="NR53" i="3"/>
  <c r="NQ8" i="3"/>
  <c r="NQ3" i="3"/>
  <c r="NO51" i="3"/>
  <c r="NO57" i="3"/>
  <c r="NO1" i="3"/>
  <c r="NP55" i="3"/>
  <c r="NP56" i="3"/>
  <c r="NP58" i="3"/>
  <c r="NP50" i="3"/>
  <c r="NQ52" i="3"/>
  <c r="NQ54" i="3"/>
  <c r="NS9" i="3"/>
  <c r="NS53" i="3"/>
  <c r="NR8" i="3"/>
  <c r="NR3" i="3"/>
  <c r="NP51" i="3"/>
  <c r="NP57" i="3"/>
  <c r="NQ55" i="3"/>
  <c r="NQ56" i="3"/>
  <c r="NQ58" i="3"/>
  <c r="NQ50" i="3"/>
  <c r="NR52" i="3"/>
  <c r="NR54" i="3"/>
  <c r="NT9" i="3"/>
  <c r="NT53" i="3"/>
  <c r="NS8" i="3"/>
  <c r="NS3" i="3"/>
  <c r="NP1" i="3"/>
  <c r="NQ51" i="3"/>
  <c r="NQ57" i="3"/>
  <c r="NQ1" i="3"/>
  <c r="NR55" i="3"/>
  <c r="NR56" i="3"/>
  <c r="NR58" i="3"/>
  <c r="NR50" i="3"/>
  <c r="NS52" i="3"/>
  <c r="NS54" i="3"/>
  <c r="NU9" i="3"/>
  <c r="NU53" i="3"/>
  <c r="NT8" i="3"/>
  <c r="NT3" i="3"/>
  <c r="NR51" i="3"/>
  <c r="NR57" i="3"/>
  <c r="NS55" i="3"/>
  <c r="NS56" i="3"/>
  <c r="NS58" i="3"/>
  <c r="NS50" i="3"/>
  <c r="NT52" i="3"/>
  <c r="NT54" i="3"/>
  <c r="NV9" i="3"/>
  <c r="NV53" i="3"/>
  <c r="NU8" i="3"/>
  <c r="NU3" i="3"/>
  <c r="NR1" i="3"/>
  <c r="NS51" i="3"/>
  <c r="NS57" i="3"/>
  <c r="NT55" i="3"/>
  <c r="NT56" i="3"/>
  <c r="NT58" i="3"/>
  <c r="NT50" i="3"/>
  <c r="NT51" i="3"/>
  <c r="NU54" i="3"/>
  <c r="NW9" i="3"/>
  <c r="NW53" i="3"/>
  <c r="NV8" i="3"/>
  <c r="NV3" i="3"/>
  <c r="NS1" i="3"/>
  <c r="NU52" i="3"/>
  <c r="NT57" i="3"/>
  <c r="NT1" i="3"/>
  <c r="NU55" i="3"/>
  <c r="NU56" i="3"/>
  <c r="NU58" i="3"/>
  <c r="NU50" i="3"/>
  <c r="NV52" i="3"/>
  <c r="NV54" i="3"/>
  <c r="NX9" i="3"/>
  <c r="NX53" i="3"/>
  <c r="NW8" i="3"/>
  <c r="NW3" i="3"/>
  <c r="NU51" i="3"/>
  <c r="NU57" i="3"/>
  <c r="NU1" i="3"/>
  <c r="NV55" i="3"/>
  <c r="NV56" i="3"/>
  <c r="NV58" i="3"/>
  <c r="NV50" i="3"/>
  <c r="NW52" i="3"/>
  <c r="NW54" i="3"/>
  <c r="NY9" i="3"/>
  <c r="NY53" i="3"/>
  <c r="NX8" i="3"/>
  <c r="NX3" i="3"/>
  <c r="NV51" i="3"/>
  <c r="NV57" i="3"/>
  <c r="NW55" i="3"/>
  <c r="NW56" i="3"/>
  <c r="NW58" i="3"/>
  <c r="NW50" i="3"/>
  <c r="NX52" i="3"/>
  <c r="NX54" i="3"/>
  <c r="NZ9" i="3"/>
  <c r="NZ53" i="3"/>
  <c r="NY8" i="3"/>
  <c r="NY3" i="3"/>
  <c r="NW51" i="3"/>
  <c r="NW57" i="3"/>
  <c r="NV1" i="3"/>
  <c r="NW1" i="3"/>
  <c r="NX55" i="3"/>
  <c r="NX56" i="3"/>
  <c r="NX58" i="3"/>
  <c r="NX50" i="3"/>
  <c r="NY52" i="3"/>
  <c r="NY54" i="3"/>
  <c r="OA9" i="3"/>
  <c r="OA53" i="3"/>
  <c r="NZ8" i="3"/>
  <c r="NZ3" i="3"/>
  <c r="NX51" i="3"/>
  <c r="NX57" i="3"/>
  <c r="NY55" i="3"/>
  <c r="NY56" i="3"/>
  <c r="NY58" i="3"/>
  <c r="NY50" i="3"/>
  <c r="NZ52" i="3"/>
  <c r="NZ54" i="3"/>
  <c r="OB9" i="3"/>
  <c r="OB53" i="3"/>
  <c r="OA8" i="3"/>
  <c r="OA3" i="3"/>
  <c r="NX1" i="3"/>
  <c r="NY51" i="3"/>
  <c r="NY57" i="3"/>
  <c r="NY1" i="3"/>
  <c r="NZ55" i="3"/>
  <c r="NZ56" i="3"/>
  <c r="NZ58" i="3"/>
  <c r="NZ50" i="3"/>
  <c r="OA52" i="3"/>
  <c r="OA54" i="3"/>
  <c r="OC9" i="3"/>
  <c r="OC53" i="3"/>
  <c r="OB8" i="3"/>
  <c r="OB3" i="3"/>
  <c r="NZ51" i="3"/>
  <c r="NZ57" i="3"/>
  <c r="NZ1" i="3"/>
  <c r="OA55" i="3"/>
  <c r="OA56" i="3"/>
  <c r="OA58" i="3"/>
  <c r="OA50" i="3"/>
  <c r="OA51" i="3"/>
  <c r="OB54" i="3"/>
  <c r="OD9" i="3"/>
  <c r="OD53" i="3"/>
  <c r="OC8" i="3"/>
  <c r="OC3" i="3"/>
  <c r="OB52" i="3"/>
  <c r="OA57" i="3"/>
  <c r="OA1" i="3"/>
  <c r="OB55" i="3"/>
  <c r="OB56" i="3"/>
  <c r="OB58" i="3"/>
  <c r="OB50" i="3"/>
  <c r="OB51" i="3"/>
  <c r="OC54" i="3"/>
  <c r="OE9" i="3"/>
  <c r="OE53" i="3"/>
  <c r="OD8" i="3"/>
  <c r="OD3" i="3"/>
  <c r="OC52" i="3"/>
  <c r="OB57" i="3"/>
  <c r="OB1" i="3"/>
  <c r="OC55" i="3"/>
  <c r="OC56" i="3"/>
  <c r="OC58" i="3"/>
  <c r="OC50" i="3"/>
  <c r="OD52" i="3"/>
  <c r="OD54" i="3"/>
  <c r="OF9" i="3"/>
  <c r="OF53" i="3"/>
  <c r="OE8" i="3"/>
  <c r="OE3" i="3"/>
  <c r="OC51" i="3"/>
  <c r="OC57" i="3"/>
  <c r="OD55" i="3"/>
  <c r="OD56" i="3"/>
  <c r="OD58" i="3"/>
  <c r="OD50" i="3"/>
  <c r="OE52" i="3"/>
  <c r="OE54" i="3"/>
  <c r="OG9" i="3"/>
  <c r="OG53" i="3"/>
  <c r="OF8" i="3"/>
  <c r="OF3" i="3"/>
  <c r="OC1" i="3"/>
  <c r="OD51" i="3"/>
  <c r="OD57" i="3"/>
  <c r="OD1" i="3"/>
  <c r="OE55" i="3"/>
  <c r="OE56" i="3"/>
  <c r="OE58" i="3"/>
  <c r="OE50" i="3"/>
  <c r="OF52" i="3"/>
  <c r="OF54" i="3"/>
  <c r="OH9" i="3"/>
  <c r="OH53" i="3"/>
  <c r="OG8" i="3"/>
  <c r="OG3" i="3"/>
  <c r="OE51" i="3"/>
  <c r="OE57" i="3"/>
  <c r="OF55" i="3"/>
  <c r="OF56" i="3"/>
  <c r="OF58" i="3"/>
  <c r="OF50" i="3"/>
  <c r="OG52" i="3"/>
  <c r="OG54" i="3"/>
  <c r="OI9" i="3"/>
  <c r="OI53" i="3"/>
  <c r="OH8" i="3"/>
  <c r="OH3" i="3"/>
  <c r="OF51" i="3"/>
  <c r="OF57" i="3"/>
  <c r="OE1" i="3"/>
  <c r="OG55" i="3"/>
  <c r="OG56" i="3"/>
  <c r="OG58" i="3"/>
  <c r="OG50" i="3"/>
  <c r="OH52" i="3"/>
  <c r="OH54" i="3"/>
  <c r="OJ9" i="3"/>
  <c r="OJ53" i="3"/>
  <c r="OI8" i="3"/>
  <c r="OI3" i="3"/>
  <c r="OF1" i="3"/>
  <c r="OG51" i="3"/>
  <c r="OG57" i="3"/>
  <c r="OH55" i="3"/>
  <c r="OH56" i="3"/>
  <c r="OH58" i="3"/>
  <c r="OH50" i="3"/>
  <c r="OI52" i="3"/>
  <c r="OI54" i="3"/>
  <c r="OK9" i="3"/>
  <c r="OK53" i="3"/>
  <c r="OJ8" i="3"/>
  <c r="OJ3" i="3"/>
  <c r="OG1" i="3"/>
  <c r="OH51" i="3"/>
  <c r="OH57" i="3"/>
  <c r="OH1" i="3"/>
  <c r="OI55" i="3"/>
  <c r="OI56" i="3"/>
  <c r="OI58" i="3"/>
  <c r="OI50" i="3"/>
  <c r="OI51" i="3"/>
  <c r="OJ54" i="3"/>
  <c r="OL9" i="3"/>
  <c r="OL53" i="3"/>
  <c r="OK8" i="3"/>
  <c r="OK3" i="3"/>
  <c r="OJ52" i="3"/>
  <c r="OI57" i="3"/>
  <c r="OI1" i="3"/>
  <c r="OJ55" i="3"/>
  <c r="OJ56" i="3"/>
  <c r="OJ58" i="3"/>
  <c r="OJ50" i="3"/>
  <c r="OK52" i="3"/>
  <c r="OK54" i="3"/>
  <c r="OM9" i="3"/>
  <c r="OM53" i="3"/>
  <c r="OL8" i="3"/>
  <c r="OL3" i="3"/>
  <c r="OJ51" i="3"/>
  <c r="OJ57" i="3"/>
  <c r="OJ1" i="3"/>
  <c r="OK55" i="3"/>
  <c r="OK56" i="3"/>
  <c r="OK58" i="3"/>
  <c r="OK50" i="3"/>
  <c r="OL52" i="3"/>
  <c r="OL54" i="3"/>
  <c r="ON9" i="3"/>
  <c r="ON53" i="3"/>
  <c r="OM8" i="3"/>
  <c r="OM3" i="3"/>
  <c r="OK51" i="3"/>
  <c r="OK57" i="3"/>
  <c r="OL55" i="3"/>
  <c r="OL56" i="3"/>
  <c r="OL58" i="3"/>
  <c r="OL50" i="3"/>
  <c r="OM52" i="3"/>
  <c r="OM54" i="3"/>
  <c r="OO9" i="3"/>
  <c r="OO53" i="3"/>
  <c r="ON8" i="3"/>
  <c r="ON3" i="3"/>
  <c r="OK1" i="3"/>
  <c r="OL51" i="3"/>
  <c r="OL57" i="3"/>
  <c r="OL1" i="3"/>
  <c r="OM55" i="3"/>
  <c r="OM56" i="3"/>
  <c r="OM58" i="3"/>
  <c r="OM50" i="3"/>
  <c r="ON52" i="3"/>
  <c r="ON54" i="3"/>
  <c r="OP9" i="3"/>
  <c r="OP53" i="3"/>
  <c r="OO8" i="3"/>
  <c r="OO3" i="3"/>
  <c r="OM51" i="3"/>
  <c r="OM57" i="3"/>
  <c r="ON55" i="3"/>
  <c r="ON56" i="3"/>
  <c r="ON58" i="3"/>
  <c r="ON50" i="3"/>
  <c r="ON51" i="3"/>
  <c r="OO54" i="3"/>
  <c r="OQ9" i="3"/>
  <c r="OQ53" i="3"/>
  <c r="OP8" i="3"/>
  <c r="OP3" i="3"/>
  <c r="OM1" i="3"/>
  <c r="OO52" i="3"/>
  <c r="ON57" i="3"/>
  <c r="ON1" i="3"/>
  <c r="OO55" i="3"/>
  <c r="OO56" i="3"/>
  <c r="OO58" i="3"/>
  <c r="OO50" i="3"/>
  <c r="OP52" i="3"/>
  <c r="OP54" i="3"/>
  <c r="OR9" i="3"/>
  <c r="OR53" i="3"/>
  <c r="OQ8" i="3"/>
  <c r="OQ3" i="3"/>
  <c r="OO51" i="3"/>
  <c r="OO57" i="3"/>
  <c r="OO1" i="3"/>
  <c r="OP55" i="3"/>
  <c r="OP56" i="3"/>
  <c r="OP58" i="3"/>
  <c r="OP50" i="3"/>
  <c r="OQ52" i="3"/>
  <c r="OQ54" i="3"/>
  <c r="OS9" i="3"/>
  <c r="OS53" i="3"/>
  <c r="OR8" i="3"/>
  <c r="OR3" i="3"/>
  <c r="OP51" i="3"/>
  <c r="OP57" i="3"/>
  <c r="OQ55" i="3"/>
  <c r="OQ56" i="3"/>
  <c r="OQ58" i="3"/>
  <c r="OQ50" i="3"/>
  <c r="OR52" i="3"/>
  <c r="OR54" i="3"/>
  <c r="OT9" i="3"/>
  <c r="OT53" i="3"/>
  <c r="OS8" i="3"/>
  <c r="OS3" i="3"/>
  <c r="OP1" i="3"/>
  <c r="OQ51" i="3"/>
  <c r="OQ57" i="3"/>
  <c r="OR55" i="3"/>
  <c r="OR56" i="3"/>
  <c r="OR58" i="3"/>
  <c r="OR50" i="3"/>
  <c r="OS52" i="3"/>
  <c r="OS54" i="3"/>
  <c r="OU9" i="3"/>
  <c r="OU53" i="3"/>
  <c r="OT8" i="3"/>
  <c r="OT3" i="3"/>
  <c r="OQ1" i="3"/>
  <c r="OR51" i="3"/>
  <c r="OR57" i="3"/>
  <c r="OS55" i="3"/>
  <c r="OS56" i="3"/>
  <c r="OS58" i="3"/>
  <c r="OS50" i="3"/>
  <c r="OS51" i="3"/>
  <c r="OT54" i="3"/>
  <c r="OV9" i="3"/>
  <c r="OV53" i="3"/>
  <c r="OU8" i="3"/>
  <c r="OU3" i="3"/>
  <c r="OR1" i="3"/>
  <c r="OT52" i="3"/>
  <c r="OS57" i="3"/>
  <c r="OS1" i="3"/>
  <c r="OT55" i="3"/>
  <c r="OT56" i="3"/>
  <c r="OT58" i="3"/>
  <c r="OT50" i="3"/>
  <c r="OU52" i="3"/>
  <c r="OU54" i="3"/>
  <c r="OW9" i="3"/>
  <c r="OW53" i="3"/>
  <c r="OV8" i="3"/>
  <c r="OV3" i="3"/>
  <c r="OT51" i="3"/>
  <c r="OT57" i="3"/>
  <c r="OT1" i="3"/>
  <c r="OU55" i="3"/>
  <c r="OU56" i="3"/>
  <c r="OU58" i="3"/>
  <c r="OU50" i="3"/>
  <c r="OV52" i="3"/>
  <c r="OV54" i="3"/>
  <c r="OX9" i="3"/>
  <c r="OX53" i="3"/>
  <c r="OW8" i="3"/>
  <c r="OW3" i="3"/>
  <c r="OU51" i="3"/>
  <c r="OU57" i="3"/>
  <c r="OU1" i="3"/>
  <c r="OV55" i="3"/>
  <c r="OV56" i="3"/>
  <c r="OV58" i="3"/>
  <c r="OV50" i="3"/>
  <c r="OW52" i="3"/>
  <c r="OW54" i="3"/>
  <c r="OY9" i="3"/>
  <c r="OY53" i="3"/>
  <c r="OX8" i="3"/>
  <c r="OX3" i="3"/>
  <c r="OV51" i="3"/>
  <c r="OV57" i="3"/>
  <c r="OV1" i="3"/>
  <c r="OW55" i="3"/>
  <c r="OW56" i="3"/>
  <c r="OW58" i="3"/>
  <c r="OW50" i="3"/>
  <c r="OX52" i="3"/>
  <c r="OX54" i="3"/>
  <c r="OZ9" i="3"/>
  <c r="OZ53" i="3"/>
  <c r="OY8" i="3"/>
  <c r="OY3" i="3"/>
  <c r="OW51" i="3"/>
  <c r="OW57" i="3"/>
  <c r="OW1" i="3"/>
  <c r="OX55" i="3"/>
  <c r="OX56" i="3"/>
  <c r="OX58" i="3"/>
  <c r="OX50" i="3"/>
  <c r="OY52" i="3"/>
  <c r="OY54" i="3"/>
  <c r="PA9" i="3"/>
  <c r="PA53" i="3"/>
  <c r="OZ8" i="3"/>
  <c r="OZ3" i="3"/>
  <c r="OX51" i="3"/>
  <c r="OX57" i="3"/>
  <c r="OX1" i="3"/>
  <c r="OY55" i="3"/>
  <c r="OY56" i="3"/>
  <c r="OY58" i="3"/>
  <c r="OY50" i="3"/>
  <c r="OZ52" i="3"/>
  <c r="OZ54" i="3"/>
  <c r="PB9" i="3"/>
  <c r="PB53" i="3"/>
  <c r="PA8" i="3"/>
  <c r="PA3" i="3"/>
  <c r="OY51" i="3"/>
  <c r="OY57" i="3"/>
  <c r="OY1" i="3"/>
  <c r="OZ55" i="3"/>
  <c r="OZ56" i="3"/>
  <c r="OZ58" i="3"/>
  <c r="OZ50" i="3"/>
  <c r="PA52" i="3"/>
  <c r="PA54" i="3"/>
  <c r="PC9" i="3"/>
  <c r="PC53" i="3"/>
  <c r="PB8" i="3"/>
  <c r="PB3" i="3"/>
  <c r="OZ51" i="3"/>
  <c r="OZ57" i="3"/>
  <c r="PA55" i="3"/>
  <c r="PA56" i="3"/>
  <c r="PA58" i="3"/>
  <c r="PA50" i="3"/>
  <c r="PB52" i="3"/>
  <c r="PB54" i="3"/>
  <c r="PD9" i="3"/>
  <c r="PD53" i="3"/>
  <c r="PC8" i="3"/>
  <c r="PC3" i="3"/>
  <c r="OZ1" i="3"/>
  <c r="PA51" i="3"/>
  <c r="PA57" i="3"/>
  <c r="PB55" i="3"/>
  <c r="PB56" i="3"/>
  <c r="PB58" i="3"/>
  <c r="PB50" i="3"/>
  <c r="PC52" i="3"/>
  <c r="PC54" i="3"/>
  <c r="PE9" i="3"/>
  <c r="PE53" i="3"/>
  <c r="PD8" i="3"/>
  <c r="PD3" i="3"/>
  <c r="PA1" i="3"/>
  <c r="PB51" i="3"/>
  <c r="PB57" i="3"/>
  <c r="PC55" i="3"/>
  <c r="PC56" i="3"/>
  <c r="PC58" i="3"/>
  <c r="PC50" i="3"/>
  <c r="PD52" i="3"/>
  <c r="PD54" i="3"/>
  <c r="PF9" i="3"/>
  <c r="PF53" i="3"/>
  <c r="PE8" i="3"/>
  <c r="PE3" i="3"/>
  <c r="PB1" i="3"/>
  <c r="PC51" i="3"/>
  <c r="PC57" i="3"/>
  <c r="PC1" i="3"/>
  <c r="PD55" i="3"/>
  <c r="PD56" i="3"/>
  <c r="PD58" i="3"/>
  <c r="PD50" i="3"/>
  <c r="PE52" i="3"/>
  <c r="PE54" i="3"/>
  <c r="PG9" i="3"/>
  <c r="PG53" i="3"/>
  <c r="PF8" i="3"/>
  <c r="PF3" i="3"/>
  <c r="PD51" i="3"/>
  <c r="PD57" i="3"/>
  <c r="PE55" i="3"/>
  <c r="PE56" i="3"/>
  <c r="PE58" i="3"/>
  <c r="PE50" i="3"/>
  <c r="PF52" i="3"/>
  <c r="PF54" i="3"/>
  <c r="PH9" i="3"/>
  <c r="PH53" i="3"/>
  <c r="PG8" i="3"/>
  <c r="PG3" i="3"/>
  <c r="PD1" i="3"/>
  <c r="PE51" i="3"/>
  <c r="PE57" i="3"/>
  <c r="PE1" i="3"/>
  <c r="PF55" i="3"/>
  <c r="PF56" i="3"/>
  <c r="PF58" i="3"/>
  <c r="PF50" i="3"/>
  <c r="PF51" i="3"/>
  <c r="PG54" i="3"/>
  <c r="PI9" i="3"/>
  <c r="PI53" i="3"/>
  <c r="PH8" i="3"/>
  <c r="PH3" i="3"/>
  <c r="PG52" i="3"/>
  <c r="PF57" i="3"/>
  <c r="PF1" i="3"/>
  <c r="PG55" i="3"/>
  <c r="PG56" i="3"/>
  <c r="PG58" i="3"/>
  <c r="PG50" i="3"/>
  <c r="PH52" i="3"/>
  <c r="PH54" i="3"/>
  <c r="PJ9" i="3"/>
  <c r="PJ53" i="3"/>
  <c r="PI8" i="3"/>
  <c r="PI3" i="3"/>
  <c r="PG51" i="3"/>
  <c r="PG57" i="3"/>
  <c r="PG1" i="3"/>
  <c r="PH55" i="3"/>
  <c r="PH56" i="3"/>
  <c r="PH58" i="3"/>
  <c r="PH50" i="3"/>
  <c r="PI52" i="3"/>
  <c r="PI54" i="3"/>
  <c r="PK9" i="3"/>
  <c r="PK53" i="3"/>
  <c r="PJ8" i="3"/>
  <c r="PJ3" i="3"/>
  <c r="PH51" i="3"/>
  <c r="PH57" i="3"/>
  <c r="PH1" i="3"/>
  <c r="PI55" i="3"/>
  <c r="PI56" i="3"/>
  <c r="PI58" i="3"/>
  <c r="PI50" i="3"/>
  <c r="PJ52" i="3"/>
  <c r="PJ54" i="3"/>
  <c r="PL9" i="3"/>
  <c r="PL53" i="3"/>
  <c r="PK8" i="3"/>
  <c r="PK3" i="3"/>
  <c r="PI51" i="3"/>
  <c r="PI57" i="3"/>
  <c r="PI1" i="3"/>
  <c r="PJ55" i="3"/>
  <c r="PJ56" i="3"/>
  <c r="PJ58" i="3"/>
  <c r="PJ50" i="3"/>
  <c r="PK52" i="3"/>
  <c r="PK54" i="3"/>
  <c r="PM9" i="3"/>
  <c r="PM53" i="3"/>
  <c r="PL8" i="3"/>
  <c r="PL3" i="3"/>
  <c r="PJ51" i="3"/>
  <c r="PJ57" i="3"/>
  <c r="PJ1" i="3"/>
  <c r="PK55" i="3"/>
  <c r="PK56" i="3"/>
  <c r="PK58" i="3"/>
  <c r="PK50" i="3"/>
  <c r="PL52" i="3"/>
  <c r="PL54" i="3"/>
  <c r="PN9" i="3"/>
  <c r="PN53" i="3"/>
  <c r="PM8" i="3"/>
  <c r="PM3" i="3"/>
  <c r="PK51" i="3"/>
  <c r="PK57" i="3"/>
  <c r="PK1" i="3"/>
  <c r="PL55" i="3"/>
  <c r="PL56" i="3"/>
  <c r="PL58" i="3"/>
  <c r="PL50" i="3"/>
  <c r="PM52" i="3"/>
  <c r="PM54" i="3"/>
  <c r="PO9" i="3"/>
  <c r="PO53" i="3"/>
  <c r="PN8" i="3"/>
  <c r="PN3" i="3"/>
  <c r="PL51" i="3"/>
  <c r="PL57" i="3"/>
  <c r="PM55" i="3"/>
  <c r="PM56" i="3"/>
  <c r="PM58" i="3"/>
  <c r="PM50" i="3"/>
  <c r="PM51" i="3"/>
  <c r="PN54" i="3"/>
  <c r="PP9" i="3"/>
  <c r="PP53" i="3"/>
  <c r="PO8" i="3"/>
  <c r="PO3" i="3"/>
  <c r="PL1" i="3"/>
  <c r="PN52" i="3"/>
  <c r="PM57" i="3"/>
  <c r="PM1" i="3"/>
  <c r="PN55" i="3"/>
  <c r="PN56" i="3"/>
  <c r="PN58" i="3"/>
  <c r="PN50" i="3"/>
  <c r="PO52" i="3"/>
  <c r="PO54" i="3"/>
  <c r="PQ9" i="3"/>
  <c r="PQ53" i="3"/>
  <c r="PP8" i="3"/>
  <c r="PP3" i="3"/>
  <c r="PN51" i="3"/>
  <c r="PN57" i="3"/>
  <c r="PO55" i="3"/>
  <c r="PO56" i="3"/>
  <c r="PO58" i="3"/>
  <c r="PO50" i="3"/>
  <c r="PO51" i="3"/>
  <c r="PP54" i="3"/>
  <c r="PR9" i="3"/>
  <c r="PR53" i="3"/>
  <c r="PQ8" i="3"/>
  <c r="PQ3" i="3"/>
  <c r="PP52" i="3"/>
  <c r="PN1" i="3"/>
  <c r="PO57" i="3"/>
  <c r="PO1" i="3"/>
  <c r="PP55" i="3"/>
  <c r="PP56" i="3"/>
  <c r="PP58" i="3"/>
  <c r="PP50" i="3"/>
  <c r="PP51" i="3"/>
  <c r="PQ54" i="3"/>
  <c r="PS9" i="3"/>
  <c r="PS53" i="3"/>
  <c r="PR8" i="3"/>
  <c r="PR3" i="3"/>
  <c r="PQ52" i="3"/>
  <c r="PP57" i="3"/>
  <c r="PP1" i="3"/>
  <c r="PQ55" i="3"/>
  <c r="PQ56" i="3"/>
  <c r="PQ58" i="3"/>
  <c r="PQ50" i="3"/>
  <c r="PR52" i="3"/>
  <c r="PR54" i="3"/>
  <c r="PT9" i="3"/>
  <c r="PT53" i="3"/>
  <c r="PS8" i="3"/>
  <c r="PS3" i="3"/>
  <c r="PQ51" i="3"/>
  <c r="PQ57" i="3"/>
  <c r="PR55" i="3"/>
  <c r="PR56" i="3"/>
  <c r="PR58" i="3"/>
  <c r="PR50" i="3"/>
  <c r="PR51" i="3"/>
  <c r="PS54" i="3"/>
  <c r="PU9" i="3"/>
  <c r="PU53" i="3"/>
  <c r="PT8" i="3"/>
  <c r="PT3" i="3"/>
  <c r="PQ1" i="3"/>
  <c r="PS52" i="3"/>
  <c r="PR57" i="3"/>
  <c r="PR1" i="3"/>
  <c r="PS55" i="3"/>
  <c r="PS56" i="3"/>
  <c r="PS58" i="3"/>
  <c r="PS50" i="3"/>
  <c r="PT52" i="3"/>
  <c r="PT54" i="3"/>
  <c r="PV9" i="3"/>
  <c r="PV53" i="3"/>
  <c r="PU8" i="3"/>
  <c r="PU3" i="3"/>
  <c r="PS51" i="3"/>
  <c r="PS57" i="3"/>
  <c r="PT55" i="3"/>
  <c r="PT56" i="3"/>
  <c r="PT58" i="3"/>
  <c r="PT50" i="3"/>
  <c r="PU52" i="3"/>
  <c r="PU54" i="3"/>
  <c r="PW9" i="3"/>
  <c r="PW53" i="3"/>
  <c r="PV8" i="3"/>
  <c r="PV3" i="3"/>
  <c r="PS1" i="3"/>
  <c r="PT51" i="3"/>
  <c r="PT57" i="3"/>
  <c r="PT1" i="3"/>
  <c r="PU55" i="3"/>
  <c r="PU56" i="3"/>
  <c r="PU58" i="3"/>
  <c r="PU50" i="3"/>
  <c r="PV52" i="3"/>
  <c r="PV54" i="3"/>
  <c r="PX9" i="3"/>
  <c r="PX53" i="3"/>
  <c r="PW8" i="3"/>
  <c r="PW3" i="3"/>
  <c r="PU51" i="3"/>
  <c r="PU57" i="3"/>
  <c r="PV55" i="3"/>
  <c r="PV56" i="3"/>
  <c r="PV58" i="3"/>
  <c r="PV50" i="3"/>
  <c r="PW52" i="3"/>
  <c r="PW54" i="3"/>
  <c r="PY9" i="3"/>
  <c r="PY53" i="3"/>
  <c r="PX8" i="3"/>
  <c r="PX3" i="3"/>
  <c r="PU1" i="3"/>
  <c r="PV51" i="3"/>
  <c r="PV57" i="3"/>
  <c r="PV1" i="3"/>
  <c r="PW55" i="3"/>
  <c r="PW56" i="3"/>
  <c r="PW58" i="3"/>
  <c r="PW50" i="3"/>
  <c r="PX52" i="3"/>
  <c r="PX54" i="3"/>
  <c r="PZ9" i="3"/>
  <c r="PZ53" i="3"/>
  <c r="PY8" i="3"/>
  <c r="PY3" i="3"/>
  <c r="PW51" i="3"/>
  <c r="PW57" i="3"/>
  <c r="PW1" i="3"/>
  <c r="PX55" i="3"/>
  <c r="PX56" i="3"/>
  <c r="PX58" i="3"/>
  <c r="PX50" i="3"/>
  <c r="PY52" i="3"/>
  <c r="PY54" i="3"/>
  <c r="QA9" i="3"/>
  <c r="QA53" i="3"/>
  <c r="PZ8" i="3"/>
  <c r="PZ3" i="3"/>
  <c r="PX51" i="3"/>
  <c r="PX57" i="3"/>
  <c r="PX1" i="3"/>
  <c r="PY55" i="3"/>
  <c r="PY56" i="3"/>
  <c r="PY58" i="3"/>
  <c r="PY50" i="3"/>
  <c r="PZ52" i="3"/>
  <c r="PZ54" i="3"/>
  <c r="QB9" i="3"/>
  <c r="QB53" i="3"/>
  <c r="QA8" i="3"/>
  <c r="QA3" i="3"/>
  <c r="PY51" i="3"/>
  <c r="PY57" i="3"/>
  <c r="PY1" i="3"/>
  <c r="PZ55" i="3"/>
  <c r="PZ56" i="3"/>
  <c r="PZ58" i="3"/>
  <c r="PZ50" i="3"/>
  <c r="QA52" i="3"/>
  <c r="QA54" i="3"/>
  <c r="QC9" i="3"/>
  <c r="QC53" i="3"/>
  <c r="QB8" i="3"/>
  <c r="QB3" i="3"/>
  <c r="PZ51" i="3"/>
  <c r="PZ57" i="3"/>
  <c r="PZ1" i="3"/>
  <c r="QA55" i="3"/>
  <c r="QA56" i="3"/>
  <c r="QA58" i="3"/>
  <c r="QA50" i="3"/>
  <c r="QB52" i="3"/>
  <c r="QB54" i="3"/>
  <c r="QD9" i="3"/>
  <c r="QD53" i="3"/>
  <c r="QC8" i="3"/>
  <c r="QC3" i="3"/>
  <c r="QA51" i="3"/>
  <c r="QA57" i="3"/>
  <c r="QB55" i="3"/>
  <c r="QB56" i="3"/>
  <c r="QB58" i="3"/>
  <c r="QB50" i="3"/>
  <c r="QC52" i="3"/>
  <c r="QC54" i="3"/>
  <c r="QE9" i="3"/>
  <c r="QE53" i="3"/>
  <c r="QD8" i="3"/>
  <c r="QD3" i="3"/>
  <c r="QA1" i="3"/>
  <c r="QB51" i="3"/>
  <c r="QB57" i="3"/>
  <c r="QB1" i="3"/>
  <c r="QC55" i="3"/>
  <c r="QC56" i="3"/>
  <c r="QC58" i="3"/>
  <c r="QC50" i="3"/>
  <c r="QD52" i="3"/>
  <c r="QD54" i="3"/>
  <c r="QF9" i="3"/>
  <c r="QF53" i="3"/>
  <c r="QE8" i="3"/>
  <c r="QE3" i="3"/>
  <c r="QC51" i="3"/>
  <c r="QC57" i="3"/>
  <c r="QC1" i="3"/>
  <c r="QD55" i="3"/>
  <c r="QD56" i="3"/>
  <c r="QD58" i="3"/>
  <c r="QD50" i="3"/>
  <c r="QE52" i="3"/>
  <c r="QE54" i="3"/>
  <c r="QG9" i="3"/>
  <c r="QG53" i="3"/>
  <c r="QF8" i="3"/>
  <c r="QF3" i="3"/>
  <c r="QD51" i="3"/>
  <c r="QD57" i="3"/>
  <c r="QD1" i="3"/>
  <c r="QE55" i="3"/>
  <c r="QE56" i="3"/>
  <c r="QE58" i="3"/>
  <c r="QE50" i="3"/>
  <c r="QF52" i="3"/>
  <c r="QF54" i="3"/>
  <c r="QH9" i="3"/>
  <c r="QH53" i="3"/>
  <c r="QG8" i="3"/>
  <c r="QG3" i="3"/>
  <c r="QE51" i="3"/>
  <c r="QE57" i="3"/>
  <c r="QE1" i="3"/>
  <c r="QF55" i="3"/>
  <c r="QF56" i="3"/>
  <c r="QF58" i="3"/>
  <c r="QF50" i="3"/>
  <c r="QG52" i="3"/>
  <c r="QG54" i="3"/>
  <c r="QI9" i="3"/>
  <c r="QI53" i="3"/>
  <c r="QH8" i="3"/>
  <c r="QH3" i="3"/>
  <c r="QF51" i="3"/>
  <c r="QF57" i="3"/>
  <c r="QF1" i="3"/>
  <c r="QG55" i="3"/>
  <c r="QG56" i="3"/>
  <c r="QG58" i="3"/>
  <c r="QG50" i="3"/>
  <c r="QH52" i="3"/>
  <c r="QH54" i="3"/>
  <c r="QJ9" i="3"/>
  <c r="QJ53" i="3"/>
  <c r="QI8" i="3"/>
  <c r="QI3" i="3"/>
  <c r="QG51" i="3"/>
  <c r="QG57" i="3"/>
  <c r="QH55" i="3"/>
  <c r="QH56" i="3"/>
  <c r="QH58" i="3"/>
  <c r="QH50" i="3"/>
  <c r="QI52" i="3"/>
  <c r="QI54" i="3"/>
  <c r="QK9" i="3"/>
  <c r="QK53" i="3"/>
  <c r="QJ8" i="3"/>
  <c r="QJ3" i="3"/>
  <c r="QH51" i="3"/>
  <c r="QH57" i="3"/>
  <c r="QG1" i="3"/>
  <c r="QH1" i="3"/>
  <c r="QI55" i="3"/>
  <c r="QI56" i="3"/>
  <c r="QI58" i="3"/>
  <c r="QI50" i="3"/>
  <c r="QJ52" i="3"/>
  <c r="QJ54" i="3"/>
  <c r="QL9" i="3"/>
  <c r="QL53" i="3"/>
  <c r="QK8" i="3"/>
  <c r="QK3" i="3"/>
  <c r="QI51" i="3"/>
  <c r="QI57" i="3"/>
  <c r="QI1" i="3"/>
  <c r="QJ55" i="3"/>
  <c r="QJ56" i="3"/>
  <c r="QJ58" i="3"/>
  <c r="QJ50" i="3"/>
  <c r="QJ51" i="3"/>
  <c r="QK54" i="3"/>
  <c r="QM9" i="3"/>
  <c r="QM53" i="3"/>
  <c r="QL8" i="3"/>
  <c r="QL3" i="3"/>
  <c r="QK52" i="3"/>
  <c r="QJ57" i="3"/>
  <c r="QJ1" i="3"/>
  <c r="QK55" i="3"/>
  <c r="QK56" i="3"/>
  <c r="QK58" i="3"/>
  <c r="QK50" i="3"/>
  <c r="QL52" i="3"/>
  <c r="QL54" i="3"/>
  <c r="QN9" i="3"/>
  <c r="QN53" i="3"/>
  <c r="QM8" i="3"/>
  <c r="QM3" i="3"/>
  <c r="QK51" i="3"/>
  <c r="QK57" i="3"/>
  <c r="QK1" i="3"/>
  <c r="QL55" i="3"/>
  <c r="QL56" i="3"/>
  <c r="QL58" i="3"/>
  <c r="QL50" i="3"/>
  <c r="QM52" i="3"/>
  <c r="QM54" i="3"/>
  <c r="QO9" i="3"/>
  <c r="QO53" i="3"/>
  <c r="QN8" i="3"/>
  <c r="QN3" i="3"/>
  <c r="QL51" i="3"/>
  <c r="QL57" i="3"/>
  <c r="QL1" i="3"/>
  <c r="QM55" i="3"/>
  <c r="QM56" i="3"/>
  <c r="QM58" i="3"/>
  <c r="QM50" i="3"/>
  <c r="QN52" i="3"/>
  <c r="QN54" i="3"/>
  <c r="QP9" i="3"/>
  <c r="QP53" i="3"/>
  <c r="QO8" i="3"/>
  <c r="QO3" i="3"/>
  <c r="QM51" i="3"/>
  <c r="QM57" i="3"/>
  <c r="QM1" i="3"/>
  <c r="QN55" i="3"/>
  <c r="QN56" i="3"/>
  <c r="QN58" i="3"/>
  <c r="QN50" i="3"/>
  <c r="QO52" i="3"/>
  <c r="QO54" i="3"/>
  <c r="QQ9" i="3"/>
  <c r="QQ53" i="3"/>
  <c r="QP8" i="3"/>
  <c r="QP3" i="3"/>
  <c r="QN51" i="3"/>
  <c r="QN57" i="3"/>
  <c r="QN1" i="3"/>
  <c r="QO55" i="3"/>
  <c r="QO56" i="3"/>
  <c r="QO58" i="3"/>
  <c r="QO50" i="3"/>
  <c r="QO51" i="3"/>
  <c r="QP54" i="3"/>
  <c r="QR9" i="3"/>
  <c r="QR53" i="3"/>
  <c r="QQ8" i="3"/>
  <c r="QQ3" i="3"/>
  <c r="QP52" i="3"/>
  <c r="QO57" i="3"/>
  <c r="QO1" i="3"/>
  <c r="QP55" i="3"/>
  <c r="QP56" i="3"/>
  <c r="QP58" i="3"/>
  <c r="QP50" i="3"/>
  <c r="QQ52" i="3"/>
  <c r="QQ54" i="3"/>
  <c r="QS9" i="3"/>
  <c r="QS53" i="3"/>
  <c r="QR8" i="3"/>
  <c r="QR3" i="3"/>
  <c r="QP51" i="3"/>
  <c r="QP57" i="3"/>
  <c r="QQ55" i="3"/>
  <c r="QQ56" i="3"/>
  <c r="QQ58" i="3"/>
  <c r="QQ50" i="3"/>
  <c r="QR52" i="3"/>
  <c r="QR54" i="3"/>
  <c r="QT9" i="3"/>
  <c r="QT53" i="3"/>
  <c r="QS8" i="3"/>
  <c r="QS3" i="3"/>
  <c r="QP1" i="3"/>
  <c r="QQ51" i="3"/>
  <c r="QQ57" i="3"/>
  <c r="QQ1" i="3"/>
  <c r="QR55" i="3"/>
  <c r="QR56" i="3"/>
  <c r="QR58" i="3"/>
  <c r="QR50" i="3"/>
  <c r="QS52" i="3"/>
  <c r="QS54" i="3"/>
  <c r="QU9" i="3"/>
  <c r="QU53" i="3"/>
  <c r="QT8" i="3"/>
  <c r="QT3" i="3"/>
  <c r="QR51" i="3"/>
  <c r="QR57" i="3"/>
  <c r="QR1" i="3"/>
  <c r="QS55" i="3"/>
  <c r="QS56" i="3"/>
  <c r="QS58" i="3"/>
  <c r="QS50" i="3"/>
  <c r="QT52" i="3"/>
  <c r="QT54" i="3"/>
  <c r="QV9" i="3"/>
  <c r="QV53" i="3"/>
  <c r="QU8" i="3"/>
  <c r="QU3" i="3"/>
  <c r="QS51" i="3"/>
  <c r="QS57" i="3"/>
  <c r="QT55" i="3"/>
  <c r="QT56" i="3"/>
  <c r="QT58" i="3"/>
  <c r="QT50" i="3"/>
  <c r="QU52" i="3"/>
  <c r="QU54" i="3"/>
  <c r="QW9" i="3"/>
  <c r="QW53" i="3"/>
  <c r="QV8" i="3"/>
  <c r="QV3" i="3"/>
  <c r="QS1" i="3"/>
  <c r="QT51" i="3"/>
  <c r="QT57" i="3"/>
  <c r="QU55" i="3"/>
  <c r="QU56" i="3"/>
  <c r="QU58" i="3"/>
  <c r="QU50" i="3"/>
  <c r="QV52" i="3"/>
  <c r="QV54" i="3"/>
  <c r="QX9" i="3"/>
  <c r="QX53" i="3"/>
  <c r="QW8" i="3"/>
  <c r="QW3" i="3"/>
  <c r="QT1" i="3"/>
  <c r="QU51" i="3"/>
  <c r="QU57" i="3"/>
  <c r="QU1" i="3"/>
  <c r="QV55" i="3"/>
  <c r="QV56" i="3"/>
  <c r="QV58" i="3"/>
  <c r="QV50" i="3"/>
  <c r="QW52" i="3"/>
  <c r="QW54" i="3"/>
  <c r="QY9" i="3"/>
  <c r="QY53" i="3"/>
  <c r="QX8" i="3"/>
  <c r="QX3" i="3"/>
  <c r="QV51" i="3"/>
  <c r="QV57" i="3"/>
  <c r="QV1" i="3"/>
  <c r="QW55" i="3"/>
  <c r="QW56" i="3"/>
  <c r="QW58" i="3"/>
  <c r="QW50" i="3"/>
  <c r="QX52" i="3"/>
  <c r="QX54" i="3"/>
  <c r="QZ9" i="3"/>
  <c r="QZ53" i="3"/>
  <c r="QY8" i="3"/>
  <c r="QY3" i="3"/>
  <c r="QW51" i="3"/>
  <c r="QW57" i="3"/>
  <c r="QW1" i="3"/>
  <c r="QX55" i="3"/>
  <c r="QX56" i="3"/>
  <c r="QX58" i="3"/>
  <c r="QX50" i="3"/>
  <c r="QX51" i="3"/>
  <c r="QY54" i="3"/>
  <c r="RA9" i="3"/>
  <c r="RA53" i="3"/>
  <c r="QZ8" i="3"/>
  <c r="QZ3" i="3"/>
  <c r="QY52" i="3"/>
  <c r="QX57" i="3"/>
  <c r="QX1" i="3"/>
  <c r="QY55" i="3"/>
  <c r="QY56" i="3"/>
  <c r="QY58" i="3"/>
  <c r="QY50" i="3"/>
  <c r="QZ52" i="3"/>
  <c r="QZ54" i="3"/>
  <c r="RB9" i="3"/>
  <c r="RB53" i="3"/>
  <c r="RA8" i="3"/>
  <c r="RA3" i="3"/>
  <c r="QY51" i="3"/>
  <c r="QY57" i="3"/>
  <c r="QY1" i="3"/>
  <c r="QZ55" i="3"/>
  <c r="QZ56" i="3"/>
  <c r="QZ58" i="3"/>
  <c r="QZ50" i="3"/>
  <c r="QZ51" i="3"/>
  <c r="RA54" i="3"/>
  <c r="RC9" i="3"/>
  <c r="RC53" i="3"/>
  <c r="RB8" i="3"/>
  <c r="RB3" i="3"/>
  <c r="RA52" i="3"/>
  <c r="QZ57" i="3"/>
  <c r="QZ1" i="3"/>
  <c r="RA55" i="3"/>
  <c r="RA56" i="3"/>
  <c r="RA58" i="3"/>
  <c r="RA50" i="3"/>
  <c r="RB52" i="3"/>
  <c r="RB54" i="3"/>
  <c r="RD9" i="3"/>
  <c r="RD53" i="3"/>
  <c r="RC8" i="3"/>
  <c r="RC3" i="3"/>
  <c r="RA51" i="3"/>
  <c r="RA57" i="3"/>
  <c r="RA1" i="3"/>
  <c r="RB55" i="3"/>
  <c r="RB56" i="3"/>
  <c r="RB58" i="3"/>
  <c r="RB50" i="3"/>
  <c r="RC52" i="3"/>
  <c r="RC54" i="3"/>
  <c r="RE9" i="3"/>
  <c r="RE53" i="3"/>
  <c r="RD8" i="3"/>
  <c r="RD3" i="3"/>
  <c r="RB51" i="3"/>
  <c r="RB57" i="3"/>
  <c r="RB1" i="3"/>
  <c r="RC55" i="3"/>
  <c r="RC56" i="3"/>
  <c r="RC58" i="3"/>
  <c r="RC50" i="3"/>
  <c r="RD52" i="3"/>
  <c r="RD54" i="3"/>
  <c r="RF9" i="3"/>
  <c r="RF53" i="3"/>
  <c r="RE8" i="3"/>
  <c r="RE3" i="3"/>
  <c r="RC51" i="3"/>
  <c r="RC57" i="3"/>
  <c r="RC1" i="3"/>
  <c r="RD55" i="3"/>
  <c r="RD56" i="3"/>
  <c r="RD58" i="3"/>
  <c r="RD50" i="3"/>
  <c r="RE52" i="3"/>
  <c r="RE54" i="3"/>
  <c r="RG9" i="3"/>
  <c r="RG53" i="3"/>
  <c r="RF8" i="3"/>
  <c r="RF3" i="3"/>
  <c r="RD51" i="3"/>
  <c r="RD57" i="3"/>
  <c r="RD1" i="3"/>
  <c r="RE55" i="3"/>
  <c r="RE56" i="3"/>
  <c r="RE58" i="3"/>
  <c r="RE50" i="3"/>
  <c r="RF52" i="3"/>
  <c r="RF54" i="3"/>
  <c r="RH9" i="3"/>
  <c r="RH53" i="3"/>
  <c r="RG8" i="3"/>
  <c r="RG3" i="3"/>
  <c r="RE51" i="3"/>
  <c r="RE57" i="3"/>
  <c r="RE1" i="3"/>
  <c r="RF55" i="3"/>
  <c r="RF56" i="3"/>
  <c r="RF58" i="3"/>
  <c r="RF50" i="3"/>
  <c r="RG52" i="3"/>
  <c r="RG54" i="3"/>
  <c r="RI9" i="3"/>
  <c r="RI53" i="3"/>
  <c r="RH8" i="3"/>
  <c r="RH3" i="3"/>
  <c r="RF51" i="3"/>
  <c r="RF57" i="3"/>
  <c r="RG55" i="3"/>
  <c r="RG56" i="3"/>
  <c r="RG58" i="3"/>
  <c r="RG50" i="3"/>
  <c r="RH52" i="3"/>
  <c r="RH54" i="3"/>
  <c r="RJ9" i="3"/>
  <c r="RJ53" i="3"/>
  <c r="RI8" i="3"/>
  <c r="RI3" i="3"/>
  <c r="RF1" i="3"/>
  <c r="RG51" i="3"/>
  <c r="RG57" i="3"/>
  <c r="RH55" i="3"/>
  <c r="RH56" i="3"/>
  <c r="RH58" i="3"/>
  <c r="RH50" i="3"/>
  <c r="RI52" i="3"/>
  <c r="RI54" i="3"/>
  <c r="RK9" i="3"/>
  <c r="RK53" i="3"/>
  <c r="RJ8" i="3"/>
  <c r="RJ3" i="3"/>
  <c r="RH51" i="3"/>
  <c r="RH57" i="3"/>
  <c r="RG1" i="3"/>
  <c r="RH1" i="3"/>
  <c r="RI55" i="3"/>
  <c r="RI56" i="3"/>
  <c r="RI58" i="3"/>
  <c r="RI50" i="3"/>
  <c r="RJ52" i="3"/>
  <c r="RJ54" i="3"/>
  <c r="RL9" i="3"/>
  <c r="RL53" i="3"/>
  <c r="RK8" i="3"/>
  <c r="RK3" i="3"/>
  <c r="RI51" i="3"/>
  <c r="RI57" i="3"/>
  <c r="RJ55" i="3"/>
  <c r="RJ56" i="3"/>
  <c r="RJ58" i="3"/>
  <c r="RJ50" i="3"/>
  <c r="RJ51" i="3"/>
  <c r="RK54" i="3"/>
  <c r="RM9" i="3"/>
  <c r="RM53" i="3"/>
  <c r="RL8" i="3"/>
  <c r="RL3" i="3"/>
  <c r="RI1" i="3"/>
  <c r="RK52" i="3"/>
  <c r="RJ57" i="3"/>
  <c r="RJ1" i="3"/>
  <c r="RK55" i="3"/>
  <c r="RK56" i="3"/>
  <c r="RK58" i="3"/>
  <c r="RK50" i="3"/>
  <c r="RL52" i="3"/>
  <c r="RL54" i="3"/>
  <c r="RN9" i="3"/>
  <c r="RN53" i="3"/>
  <c r="RM8" i="3"/>
  <c r="RM3" i="3"/>
  <c r="RK51" i="3"/>
  <c r="RK57" i="3"/>
  <c r="RK1" i="3"/>
  <c r="RL55" i="3"/>
  <c r="RL56" i="3"/>
  <c r="RL58" i="3"/>
  <c r="RL50" i="3"/>
  <c r="RM52" i="3"/>
  <c r="RM54" i="3"/>
  <c r="RO9" i="3"/>
  <c r="RO53" i="3"/>
  <c r="RN8" i="3"/>
  <c r="RN3" i="3"/>
  <c r="RL51" i="3"/>
  <c r="RL57" i="3"/>
  <c r="RL1" i="3"/>
  <c r="RM55" i="3"/>
  <c r="RM56" i="3"/>
  <c r="RM58" i="3"/>
  <c r="RM50" i="3"/>
  <c r="RN52" i="3"/>
  <c r="RN54" i="3"/>
  <c r="RP9" i="3"/>
  <c r="RP53" i="3"/>
  <c r="RO8" i="3"/>
  <c r="RO3" i="3"/>
  <c r="RM51" i="3"/>
  <c r="RM57" i="3"/>
  <c r="RM1" i="3"/>
  <c r="RN55" i="3"/>
  <c r="RN56" i="3"/>
  <c r="RN58" i="3"/>
  <c r="RN50" i="3"/>
  <c r="RN51" i="3"/>
  <c r="RO54" i="3"/>
  <c r="RQ9" i="3"/>
  <c r="RQ53" i="3"/>
  <c r="RP8" i="3"/>
  <c r="RP3" i="3"/>
  <c r="RO52" i="3"/>
  <c r="RN57" i="3"/>
  <c r="RN1" i="3"/>
  <c r="RO55" i="3"/>
  <c r="RO56" i="3"/>
  <c r="RO58" i="3"/>
  <c r="RO50" i="3"/>
  <c r="RP52" i="3"/>
  <c r="RP54" i="3"/>
  <c r="RR9" i="3"/>
  <c r="RR53" i="3"/>
  <c r="RQ8" i="3"/>
  <c r="RQ3" i="3"/>
  <c r="RO51" i="3"/>
  <c r="RO57" i="3"/>
  <c r="RO1" i="3"/>
  <c r="RP55" i="3"/>
  <c r="RP56" i="3"/>
  <c r="RP58" i="3"/>
  <c r="RP50" i="3"/>
  <c r="RQ52" i="3"/>
  <c r="RQ54" i="3"/>
  <c r="RS9" i="3"/>
  <c r="RS53" i="3"/>
  <c r="RR8" i="3"/>
  <c r="RR3" i="3"/>
  <c r="RP51" i="3"/>
  <c r="RP57" i="3"/>
  <c r="RQ55" i="3"/>
  <c r="RQ56" i="3"/>
  <c r="RQ58" i="3"/>
  <c r="RQ50" i="3"/>
  <c r="RR52" i="3"/>
  <c r="RR54" i="3"/>
  <c r="RT9" i="3"/>
  <c r="RT53" i="3"/>
  <c r="RS8" i="3"/>
  <c r="RS3" i="3"/>
  <c r="RP1" i="3"/>
  <c r="RQ51" i="3"/>
  <c r="RQ57" i="3"/>
  <c r="RR55" i="3"/>
  <c r="RR56" i="3"/>
  <c r="RR58" i="3"/>
  <c r="RR50" i="3"/>
  <c r="RS52" i="3"/>
  <c r="RS54" i="3"/>
  <c r="RU9" i="3"/>
  <c r="RU53" i="3"/>
  <c r="RT8" i="3"/>
  <c r="RT3" i="3"/>
  <c r="RQ1" i="3"/>
  <c r="RR51" i="3"/>
  <c r="RR57" i="3"/>
  <c r="RR1" i="3"/>
  <c r="RS55" i="3"/>
  <c r="RS56" i="3"/>
  <c r="RS58" i="3"/>
  <c r="RS50" i="3"/>
  <c r="RT52" i="3"/>
  <c r="RT54" i="3"/>
  <c r="RV9" i="3"/>
  <c r="RV53" i="3"/>
  <c r="RU8" i="3"/>
  <c r="RU3" i="3"/>
  <c r="RS51" i="3"/>
  <c r="RS57" i="3"/>
  <c r="RS1" i="3"/>
  <c r="RT55" i="3"/>
  <c r="RT56" i="3"/>
  <c r="RT58" i="3"/>
  <c r="RT50" i="3"/>
  <c r="RU52" i="3"/>
  <c r="RU54" i="3"/>
  <c r="RW9" i="3"/>
  <c r="RW53" i="3"/>
  <c r="RV8" i="3"/>
  <c r="RV3" i="3"/>
  <c r="RT51" i="3"/>
  <c r="RT57" i="3"/>
  <c r="RU55" i="3"/>
  <c r="RU56" i="3"/>
  <c r="RU58" i="3"/>
  <c r="RU50" i="3"/>
  <c r="RV52" i="3"/>
  <c r="RV54" i="3"/>
  <c r="RX9" i="3"/>
  <c r="RX53" i="3"/>
  <c r="RW8" i="3"/>
  <c r="RW3" i="3"/>
  <c r="RT1" i="3"/>
  <c r="RU51" i="3"/>
  <c r="RU57" i="3"/>
  <c r="RV55" i="3"/>
  <c r="RV56" i="3"/>
  <c r="RV58" i="3"/>
  <c r="RV50" i="3"/>
  <c r="RW52" i="3"/>
  <c r="RW54" i="3"/>
  <c r="RY9" i="3"/>
  <c r="RY53" i="3"/>
  <c r="RX8" i="3"/>
  <c r="RX3" i="3"/>
  <c r="RU1" i="3"/>
  <c r="RV51" i="3"/>
  <c r="RV57" i="3"/>
  <c r="RV1" i="3"/>
  <c r="RW55" i="3"/>
  <c r="RW56" i="3"/>
  <c r="RW58" i="3"/>
  <c r="RW50" i="3"/>
  <c r="RW51" i="3"/>
  <c r="RX54" i="3"/>
  <c r="RZ9" i="3"/>
  <c r="RZ53" i="3"/>
  <c r="RY8" i="3"/>
  <c r="RY3" i="3"/>
  <c r="RX52" i="3"/>
  <c r="RW57" i="3"/>
  <c r="RW1" i="3"/>
  <c r="RX55" i="3"/>
  <c r="RX56" i="3"/>
  <c r="RX58" i="3"/>
  <c r="RX50" i="3"/>
  <c r="RY52" i="3"/>
  <c r="RY54" i="3"/>
  <c r="SA9" i="3"/>
  <c r="SA53" i="3"/>
  <c r="RZ8" i="3"/>
  <c r="RZ3" i="3"/>
  <c r="RX51" i="3"/>
  <c r="RX57" i="3"/>
  <c r="RX1" i="3"/>
  <c r="RY55" i="3"/>
  <c r="RY56" i="3"/>
  <c r="RY58" i="3"/>
  <c r="RY50" i="3"/>
  <c r="RZ52" i="3"/>
  <c r="RZ54" i="3"/>
  <c r="SB9" i="3"/>
  <c r="SB53" i="3"/>
  <c r="SA8" i="3"/>
  <c r="SA3" i="3"/>
  <c r="RY51" i="3"/>
  <c r="RY57" i="3"/>
  <c r="RY1" i="3"/>
  <c r="RZ55" i="3"/>
  <c r="RZ56" i="3"/>
  <c r="RZ58" i="3"/>
  <c r="RZ50" i="3"/>
  <c r="SA52" i="3"/>
  <c r="SA54" i="3"/>
  <c r="SC9" i="3"/>
  <c r="SC53" i="3"/>
  <c r="SB8" i="3"/>
  <c r="SB3" i="3"/>
  <c r="RZ51" i="3"/>
  <c r="RZ57" i="3"/>
  <c r="RZ1" i="3"/>
  <c r="SA55" i="3"/>
  <c r="SA56" i="3"/>
  <c r="SA58" i="3"/>
  <c r="SA50" i="3"/>
  <c r="SA51" i="3"/>
  <c r="SB54" i="3"/>
  <c r="SC8" i="3"/>
  <c r="SC3" i="3"/>
  <c r="SB52" i="3"/>
  <c r="SA57" i="3"/>
  <c r="SA1" i="3"/>
  <c r="SB55" i="3"/>
  <c r="SB56" i="3"/>
  <c r="SB58" i="3"/>
  <c r="SB50" i="3"/>
  <c r="SB51" i="3"/>
  <c r="SC54" i="3"/>
  <c r="SC55" i="3"/>
  <c r="SC56" i="3"/>
  <c r="SC52" i="3"/>
  <c r="SC58" i="3"/>
  <c r="SC50" i="3"/>
  <c r="SC51" i="3"/>
  <c r="SB57" i="3"/>
  <c r="SB1" i="3"/>
  <c r="SC1" i="3"/>
  <c r="SC57" i="3"/>
  <c r="H55" i="3"/>
  <c r="H56" i="3"/>
  <c r="H58" i="3"/>
  <c r="H50" i="3"/>
  <c r="I52" i="3"/>
  <c r="I58" i="3"/>
  <c r="I50" i="3"/>
  <c r="J52" i="3"/>
  <c r="I51" i="3"/>
  <c r="J51" i="3"/>
  <c r="K52" i="3"/>
  <c r="K1" i="3"/>
  <c r="I1" i="3"/>
  <c r="I57" i="3"/>
  <c r="J1" i="3"/>
  <c r="J5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<sst xmlns="http://schemas.openxmlformats.org/spreadsheetml/2006/main" count="151" uniqueCount="123">
  <si>
    <t>Setup Spreadsheet</t>
  </si>
  <si>
    <t>ICONS</t>
  </si>
  <si>
    <t>✅</t>
  </si>
  <si>
    <t>❎</t>
  </si>
  <si>
    <t>❌</t>
  </si>
  <si>
    <t>✔️</t>
  </si>
  <si>
    <t>⏳</t>
  </si>
  <si>
    <t>⛔️</t>
  </si>
  <si>
    <t>Status Label Names</t>
  </si>
  <si>
    <t>Members</t>
  </si>
  <si>
    <t>Holidays</t>
  </si>
  <si>
    <t>🚩</t>
  </si>
  <si>
    <t>⚠️</t>
  </si>
  <si>
    <t>❗️</t>
  </si>
  <si>
    <t>💲</t>
  </si>
  <si>
    <t>💰</t>
  </si>
  <si>
    <t>📌</t>
  </si>
  <si>
    <t>Status</t>
  </si>
  <si>
    <t>🔴</t>
  </si>
  <si>
    <t>🟠</t>
  </si>
  <si>
    <t>🟡</t>
  </si>
  <si>
    <t>🟢</t>
  </si>
  <si>
    <t>🔵</t>
  </si>
  <si>
    <t>🟣</t>
  </si>
  <si>
    <t>Completata</t>
  </si>
  <si>
    <t>Name</t>
  </si>
  <si>
    <t>Holiday Name</t>
  </si>
  <si>
    <t>Date</t>
  </si>
  <si>
    <t>⚫️</t>
  </si>
  <si>
    <t>🟥</t>
  </si>
  <si>
    <t>🟧</t>
  </si>
  <si>
    <t>🟨</t>
  </si>
  <si>
    <t>🟩</t>
  </si>
  <si>
    <t>🟦</t>
  </si>
  <si>
    <t>Programmata</t>
  </si>
  <si>
    <t>🟪</t>
  </si>
  <si>
    <t>⬛️</t>
  </si>
  <si>
    <t>❤️</t>
  </si>
  <si>
    <t>💚</t>
  </si>
  <si>
    <t>💙</t>
  </si>
  <si>
    <t>💜</t>
  </si>
  <si>
    <t>In corso</t>
  </si>
  <si>
    <t>🧒</t>
  </si>
  <si>
    <t>👨</t>
  </si>
  <si>
    <t>👧</t>
  </si>
  <si>
    <t>🙋🏻‍♀️</t>
  </si>
  <si>
    <t>🙋🏻</t>
  </si>
  <si>
    <t>🙋🏻‍♂️</t>
  </si>
  <si>
    <t>Da pianificare</t>
  </si>
  <si>
    <t>🧷</t>
  </si>
  <si>
    <t>✏️</t>
  </si>
  <si>
    <t>📝</t>
  </si>
  <si>
    <t>📙</t>
  </si>
  <si>
    <t>📍</t>
  </si>
  <si>
    <t>😍</t>
  </si>
  <si>
    <t>Da iniziare</t>
  </si>
  <si>
    <t>🙂</t>
  </si>
  <si>
    <t>📢</t>
  </si>
  <si>
    <t>📣</t>
  </si>
  <si>
    <t>🔕</t>
  </si>
  <si>
    <t>🕘</t>
  </si>
  <si>
    <t>💥</t>
  </si>
  <si>
    <t>In Revisione</t>
  </si>
  <si>
    <t>🕶️</t>
  </si>
  <si>
    <t>🔓</t>
  </si>
  <si>
    <t>☀️</t>
  </si>
  <si>
    <t>😎</t>
  </si>
  <si>
    <t>🥰</t>
  </si>
  <si>
    <t>👥</t>
  </si>
  <si>
    <t>👤</t>
  </si>
  <si>
    <t>💤</t>
  </si>
  <si>
    <t>📅</t>
  </si>
  <si>
    <t>Priority Level Label Names</t>
  </si>
  <si>
    <t xml:space="preserve">Bassa Priorità </t>
  </si>
  <si>
    <t>Media priorità</t>
  </si>
  <si>
    <t>Alta priorità</t>
  </si>
  <si>
    <t>Urgente</t>
  </si>
  <si>
    <t>Critica</t>
  </si>
  <si>
    <t>Weekend Option</t>
  </si>
  <si>
    <t>Include Weekends On Chart</t>
  </si>
  <si>
    <t>Show Weekdays Only</t>
  </si>
  <si>
    <t>Sunday</t>
  </si>
  <si>
    <t>Monday</t>
  </si>
  <si>
    <t>Weekly Start Day</t>
  </si>
  <si>
    <t xml:space="preserve">Gantt </t>
  </si>
  <si>
    <t>Nome del Progetto</t>
  </si>
  <si>
    <t>TS HR AiO</t>
  </si>
  <si>
    <t>Data di inizio</t>
  </si>
  <si>
    <t>Data di fine</t>
  </si>
  <si>
    <t>Data odierna</t>
  </si>
  <si>
    <t xml:space="preserve">Priorità </t>
  </si>
  <si>
    <t>Assegnatari</t>
  </si>
  <si>
    <t>Stato</t>
  </si>
  <si>
    <t>Inizio</t>
  </si>
  <si>
    <t>Fine</t>
  </si>
  <si>
    <t>Avvio e pianificazione</t>
  </si>
  <si>
    <t>Firma del contratto</t>
  </si>
  <si>
    <t>Kick off</t>
  </si>
  <si>
    <t>Progetto Esecutivo</t>
  </si>
  <si>
    <t>Definizione e validazione Gantt</t>
  </si>
  <si>
    <t>Documento di Analisi per la wave 1</t>
  </si>
  <si>
    <t>Documento di Collaudo</t>
  </si>
  <si>
    <t>Documento di consegna</t>
  </si>
  <si>
    <t>Portale e Presenze:</t>
  </si>
  <si>
    <t>Analisi Portale</t>
  </si>
  <si>
    <t>Analisi Presenze</t>
  </si>
  <si>
    <t>Configurazione</t>
  </si>
  <si>
    <t>Formazione</t>
  </si>
  <si>
    <t>Go Live</t>
  </si>
  <si>
    <t xml:space="preserve">  Integrazione Payroll:</t>
  </si>
  <si>
    <t>Analisi</t>
  </si>
  <si>
    <t>Progettazione flussi</t>
  </si>
  <si>
    <t>Test di integrazione</t>
  </si>
  <si>
    <t>Parallelo</t>
  </si>
  <si>
    <t xml:space="preserve"> SSO:</t>
  </si>
  <si>
    <t>Pianificazione e Timesheet:</t>
  </si>
  <si>
    <t xml:space="preserve">Test  </t>
  </si>
  <si>
    <t>Kit Salute e Sicurezza</t>
  </si>
  <si>
    <t>DONT NOT DELETE ROW, FORMULAS IN ROWS</t>
  </si>
  <si>
    <t>W1</t>
  </si>
  <si>
    <t>NEW YEAR</t>
  </si>
  <si>
    <t>Start Date Set:</t>
  </si>
  <si>
    <t>Thurs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</si>
</sst>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mmm\ dd\,\ yyyy"/>
    <numFmt numFmtId="165" formatCode="mmmm\ d\,\ yyyy"/>
    <numFmt numFmtId="166" formatCode="mmmm\ d"/>
    <numFmt numFmtId="167" formatCode="mmm&quot; &quot;yyyy"/>
    <numFmt numFmtId="168" formatCode="mmmm&quot; &quot;d&quot;, &quot;yyyy"/>
    <numFmt numFmtId="169" formatCode="mm&quot;/&quot;dd"/>
    <numFmt numFmtId="170" formatCode="ddd"/>
    <numFmt numFmtId="171" formatCode="dd"/>
  </numFmts>
  <fonts count="21" x14ac:knownFonts="1">
    <font>
      <sz val="10"/>
      <color rgb="FF000000"/>
      <name val="Arial"/>
      <scheme val="minor"/>
    </font>
    <font>
      <sz val="42"/>
      <color rgb="FF434343"/>
      <name val="Georgia"/>
    </font>
    <font>
      <sz val="10"/>
      <color rgb="FF000000"/>
      <name val="Georgia"/>
    </font>
    <font>
      <sz val="7"/>
      <color rgb="FFFFFFFF"/>
      <name val="Arial"/>
      <scheme val="minor"/>
    </font>
    <font>
      <sz val="10"/>
      <name val="Arial"/>
      <scheme val="minor"/>
    </font>
    <font>
      <sz val="10"/>
      <color rgb="FFFFFFFF"/>
      <name val="Arial"/>
      <scheme val="minor"/>
    </font>
    <font>
      <b/>
      <sz val="12"/>
      <color rgb="FF434343"/>
      <name val="Arial"/>
      <scheme val="minor"/>
    </font>
    <font>
      <b/>
      <sz val="11"/>
      <color rgb="FF434343"/>
      <name val="Arial"/>
      <scheme val="minor"/>
    </font>
    <font>
      <b/>
      <sz val="10"/>
      <color rgb="FFFFFFFF"/>
      <name val="Arial"/>
      <scheme val="minor"/>
    </font>
    <font>
      <b/>
      <sz val="10"/>
      <color rgb="FF000000"/>
      <name val="Arial"/>
      <scheme val="minor"/>
    </font>
    <font>
      <i/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color rgb="FF434343"/>
      <name val="Arial"/>
      <scheme val="minor"/>
    </font>
    <font>
      <sz val="8"/>
      <color theme="1"/>
      <name val="Arial"/>
      <scheme val="minor"/>
    </font>
    <font>
      <sz val="10"/>
      <color rgb="FF434343"/>
      <name val="Arial"/>
      <scheme val="minor"/>
    </font>
    <font>
      <sz val="12"/>
      <color theme="1"/>
      <name val="Arial"/>
      <scheme val="minor"/>
    </font>
    <font>
      <sz val="24"/>
      <color rgb="FF434343"/>
      <name val="Georgia"/>
    </font>
    <font>
      <sz val="10"/>
      <name val="Georgia"/>
    </font>
    <font>
      <b/>
      <sz val="10"/>
      <color rgb="FF434343"/>
      <name val="Arial"/>
      <scheme val="minor"/>
    </font>
    <font>
      <sz val="10"/>
      <color theme="0"/>
      <name val="Arial"/>
      <scheme val="minor"/>
    </font>
    <font>
      <b/>
      <sz val="10"/>
      <color theme="0"/>
      <name val="Arial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4CACA"/>
        <bgColor rgb="FFC4CACA"/>
      </patternFill>
    </fill>
    <fill>
      <patternFill patternType="solid">
        <fgColor rgb="FFFFFFFF"/>
        <bgColor rgb="FFFFFFFF"/>
      </patternFill>
    </fill>
    <fill>
      <patternFill patternType="solid">
        <fgColor rgb="FFF4F6F8"/>
        <bgColor rgb="FFF4F6F8"/>
      </patternFill>
    </fill>
    <fill>
      <patternFill patternType="solid">
        <fgColor rgb="FFC4D7DD"/>
        <bgColor rgb="FFC4D7DD"/>
      </patternFill>
    </fill>
    <fill>
      <patternFill patternType="solid">
        <fgColor rgb="FFCAD6C8"/>
        <bgColor rgb="FFCAD6C8"/>
      </patternFill>
    </fill>
    <fill>
      <patternFill patternType="solid">
        <fgColor rgb="FFBAC9E0"/>
        <bgColor rgb="FFBAC9E0"/>
      </patternFill>
    </fill>
    <fill>
      <patternFill patternType="solid">
        <fgColor rgb="FF757576"/>
        <bgColor rgb="FF757576"/>
      </patternFill>
    </fill>
    <fill>
      <patternFill patternType="solid">
        <fgColor rgb="FF4A4A4C"/>
        <bgColor rgb="FF4A4A4C"/>
      </patternFill>
    </fill>
    <fill>
      <patternFill patternType="solid">
        <fgColor rgb="FFF5F7F9"/>
        <bgColor rgb="FFF5F7F9"/>
      </patternFill>
    </fill>
    <fill>
      <patternFill patternType="solid">
        <fgColor rgb="FFF4F6F8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/>
      <bottom style="thick">
        <color rgb="FFF4F6F8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F4F6F8"/>
      </left>
      <right/>
      <top style="medium">
        <color rgb="FFF4F6F8"/>
      </top>
      <bottom style="medium">
        <color rgb="FFF4F6F8"/>
      </bottom>
      <diagonal/>
    </border>
    <border>
      <left/>
      <right/>
      <top style="medium">
        <color rgb="FFF4F6F8"/>
      </top>
      <bottom style="medium">
        <color rgb="FFF4F6F8"/>
      </bottom>
      <diagonal/>
    </border>
    <border>
      <left/>
      <right style="medium">
        <color rgb="FFF4F6F8"/>
      </right>
      <top style="medium">
        <color rgb="FFF4F6F8"/>
      </top>
      <bottom style="medium">
        <color rgb="FFF4F6F8"/>
      </bottom>
      <diagonal/>
    </border>
    <border>
      <left/>
      <right style="thin">
        <color rgb="FFD9D9D9"/>
      </right>
      <top/>
      <bottom/>
      <diagonal/>
    </border>
    <border>
      <left/>
      <right/>
      <top/>
      <bottom style="thin">
        <color rgb="FFF4F6F8"/>
      </bottom>
      <diagonal/>
    </border>
    <border>
      <left/>
      <right style="medium">
        <color rgb="FFF4F6F8"/>
      </right>
      <top/>
      <bottom style="thin">
        <color rgb="FFF4F6F8"/>
      </bottom>
      <diagonal/>
    </border>
    <border>
      <left/>
      <right/>
      <top style="thin">
        <color rgb="FFF4F6F8"/>
      </top>
      <bottom style="thin">
        <color rgb="FFF4F6F8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medium">
        <color rgb="FFF4F6F8"/>
      </left>
      <right/>
      <top style="medium">
        <color rgb="FFF4F6F8"/>
      </top>
      <bottom/>
      <diagonal/>
    </border>
    <border>
      <left/>
      <right/>
      <top style="medium">
        <color rgb="FFF4F6F8"/>
      </top>
      <bottom/>
      <diagonal/>
    </border>
    <border>
      <left/>
      <right style="medium">
        <color rgb="FFF4F6F8"/>
      </right>
      <top style="medium">
        <color rgb="FFF4F6F8"/>
      </top>
      <bottom/>
      <diagonal/>
    </border>
    <border>
      <left style="thin">
        <color rgb="FFC7C7C7"/>
      </left>
      <right/>
      <top style="thin">
        <color rgb="FFC7C7C7"/>
      </top>
      <bottom/>
      <diagonal/>
    </border>
    <border>
      <left/>
      <right/>
      <top style="thin">
        <color rgb="FFC7C7C7"/>
      </top>
      <bottom/>
      <diagonal/>
    </border>
    <border>
      <left/>
      <right style="thin">
        <color rgb="FFC7C7C7"/>
      </right>
      <top style="thin">
        <color rgb="FFC7C7C7"/>
      </top>
      <bottom/>
      <diagonal/>
    </border>
    <border>
      <left style="thin">
        <color rgb="FFC7C7C7"/>
      </left>
      <right/>
      <top/>
      <bottom/>
      <diagonal/>
    </border>
    <border>
      <left/>
      <right style="thin">
        <color rgb="FFC7C7C7"/>
      </right>
      <top/>
      <bottom/>
      <diagonal/>
    </border>
    <border>
      <left style="thin">
        <color rgb="FFC7C7C7"/>
      </left>
      <right/>
      <top/>
      <bottom style="thin">
        <color rgb="FFC7C7C7"/>
      </bottom>
      <diagonal/>
    </border>
    <border>
      <left/>
      <right/>
      <top/>
      <bottom style="thin">
        <color rgb="FFC7C7C7"/>
      </bottom>
      <diagonal/>
    </border>
    <border>
      <left/>
      <right style="thin">
        <color rgb="FFC7C7C7"/>
      </right>
      <top/>
      <bottom style="thin">
        <color rgb="FFC7C7C7"/>
      </bottom>
      <diagonal/>
    </border>
    <border>
      <left/>
      <right/>
      <top style="thin">
        <color rgb="FFF4F6F8"/>
      </top>
      <bottom/>
      <diagonal/>
    </border>
    <border>
      <left/>
      <right style="thick">
        <color rgb="FFC7C7C7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ck">
        <color rgb="FFD9D9D9"/>
      </bottom>
      <diagonal/>
    </border>
    <border>
      <left style="thin">
        <color rgb="FFD9D9D9"/>
      </left>
      <right style="thin">
        <color rgb="FFD9D9D9"/>
      </right>
      <top/>
      <bottom style="thick">
        <color rgb="FFD9D9D9"/>
      </bottom>
      <diagonal/>
    </border>
    <border>
      <left/>
      <right/>
      <top/>
      <bottom style="thin">
        <color rgb="FFEFEFEF"/>
      </bottom>
      <diagonal/>
    </border>
    <border>
      <left/>
      <right style="thick">
        <color rgb="FFC7C7C7"/>
      </right>
      <top/>
      <bottom style="thin">
        <color rgb="FFEFEFEF"/>
      </bottom>
      <diagonal/>
    </border>
    <border>
      <left/>
      <right/>
      <top/>
      <bottom style="thick">
        <color rgb="FFFFFFFF"/>
      </bottom>
      <diagonal/>
    </border>
    <border>
      <left/>
      <right/>
      <top style="thin">
        <color rgb="FFEFEFEF"/>
      </top>
      <bottom style="thin">
        <color rgb="FFEFEFEF"/>
      </bottom>
      <diagonal/>
    </border>
    <border>
      <left style="thin">
        <color rgb="FFF5F7F9"/>
      </left>
      <right style="thin">
        <color rgb="FFF5F7F9"/>
      </right>
      <top style="thin">
        <color rgb="FFEFEFEF"/>
      </top>
      <bottom style="thin">
        <color rgb="FFEFEFEF"/>
      </bottom>
      <diagonal/>
    </border>
    <border>
      <left style="thin">
        <color rgb="FFF5F7F9"/>
      </left>
      <right style="thick">
        <color rgb="FFC7C7C7"/>
      </right>
      <top style="thin">
        <color rgb="FFEFEFEF"/>
      </top>
      <bottom style="thin">
        <color rgb="FFEFEFE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C7C7C7"/>
      </right>
      <top style="thin">
        <color rgb="FFEFEFEF"/>
      </top>
      <bottom style="thin">
        <color rgb="FFEFEFEF"/>
      </bottom>
      <diagonal/>
    </border>
    <border>
      <left/>
      <right/>
      <top style="medium">
        <color rgb="FFCCCCCC"/>
      </top>
      <bottom/>
      <diagonal/>
    </border>
    <border>
      <left style="medium">
        <color rgb="FFF4F6F8"/>
      </left>
      <right/>
      <top style="thin">
        <color rgb="FFF4F6F8"/>
      </top>
      <bottom style="thin">
        <color rgb="FFF4F6F8"/>
      </bottom>
      <diagonal/>
    </border>
    <border>
      <left/>
      <right style="medium">
        <color rgb="FFF4F6F8"/>
      </right>
      <top style="thin">
        <color rgb="FFF4F6F8"/>
      </top>
      <bottom style="thin">
        <color rgb="FFF4F6F8"/>
      </bottom>
      <diagonal/>
    </border>
    <border>
      <left/>
      <right style="medium">
        <color rgb="FFF4F6F8"/>
      </right>
      <top style="thin">
        <color rgb="FFF4F6F8"/>
      </top>
      <bottom/>
      <diagonal/>
    </border>
    <border>
      <left style="medium">
        <color rgb="FFF4F6F8"/>
      </left>
      <right/>
      <top style="thin">
        <color rgb="FFF4F6F8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F5F7F9"/>
      </left>
      <right/>
      <top style="thin">
        <color rgb="FFEFEFEF"/>
      </top>
      <bottom style="thin">
        <color rgb="FFEFEFEF"/>
      </bottom>
      <diagonal/>
    </border>
    <border>
      <left style="thin">
        <color rgb="FFF5F7F9"/>
      </left>
      <right style="thin">
        <color rgb="FFF5F7F9"/>
      </right>
      <top style="thin">
        <color rgb="FFEFEFEF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center" vertical="center" wrapText="1"/>
    </xf>
    <xf numFmtId="169" fontId="0" fillId="3" borderId="0" xfId="0" applyNumberFormat="1" applyFill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0" fontId="5" fillId="3" borderId="41" xfId="0" applyNumberFormat="1" applyFont="1" applyFill="1" applyBorder="1" applyAlignment="1">
      <alignment horizontal="center" vertical="center"/>
    </xf>
    <xf numFmtId="0" fontId="9" fillId="10" borderId="44" xfId="0" applyFont="1" applyFill="1" applyBorder="1" applyAlignment="1">
      <alignment horizontal="left" vertical="center"/>
    </xf>
    <xf numFmtId="0" fontId="9" fillId="10" borderId="44" xfId="0" applyFont="1" applyFill="1" applyBorder="1" applyAlignment="1">
      <alignment horizontal="center" vertical="center"/>
    </xf>
    <xf numFmtId="0" fontId="0" fillId="10" borderId="46" xfId="0" applyFill="1" applyBorder="1" applyAlignment="1">
      <alignment horizontal="center" vertical="center"/>
    </xf>
    <xf numFmtId="0" fontId="0" fillId="0" borderId="47" xfId="0" applyBorder="1" applyAlignment="1">
      <alignment horizontal="center" vertical="center" wrapText="1"/>
    </xf>
    <xf numFmtId="0" fontId="0" fillId="3" borderId="47" xfId="0" applyFill="1" applyBorder="1" applyAlignment="1">
      <alignment horizontal="left" vertical="center" wrapText="1"/>
    </xf>
    <xf numFmtId="0" fontId="0" fillId="3" borderId="48" xfId="0" applyFill="1" applyBorder="1" applyAlignment="1">
      <alignment horizontal="left" vertical="center"/>
    </xf>
    <xf numFmtId="0" fontId="0" fillId="3" borderId="48" xfId="0" applyFill="1" applyBorder="1" applyAlignment="1">
      <alignment horizontal="center" vertical="center"/>
    </xf>
    <xf numFmtId="0" fontId="0" fillId="10" borderId="50" xfId="0" applyFill="1" applyBorder="1" applyAlignment="1">
      <alignment horizontal="center" vertical="center"/>
    </xf>
    <xf numFmtId="0" fontId="9" fillId="10" borderId="47" xfId="0" applyFont="1" applyFill="1" applyBorder="1" applyAlignment="1">
      <alignment horizontal="left" vertical="center"/>
    </xf>
    <xf numFmtId="0" fontId="9" fillId="10" borderId="47" xfId="0" applyFont="1" applyFill="1" applyBorder="1" applyAlignment="1">
      <alignment horizontal="center" vertical="center"/>
    </xf>
    <xf numFmtId="0" fontId="0" fillId="0" borderId="54" xfId="0" applyBorder="1"/>
    <xf numFmtId="0" fontId="0" fillId="0" borderId="53" xfId="0" applyBorder="1"/>
    <xf numFmtId="0" fontId="0" fillId="0" borderId="55" xfId="0" applyBorder="1"/>
    <xf numFmtId="0" fontId="0" fillId="0" borderId="56" xfId="0" applyBorder="1"/>
    <xf numFmtId="0" fontId="0" fillId="11" borderId="57" xfId="0" applyFill="1" applyBorder="1"/>
    <xf numFmtId="0" fontId="0" fillId="11" borderId="59" xfId="0" applyFill="1" applyBorder="1"/>
    <xf numFmtId="0" fontId="0" fillId="11" borderId="60" xfId="0" applyFill="1" applyBorder="1"/>
    <xf numFmtId="0" fontId="0" fillId="11" borderId="63" xfId="0" applyFill="1" applyBorder="1"/>
    <xf numFmtId="0" fontId="0" fillId="11" borderId="64" xfId="0" applyFill="1" applyBorder="1"/>
    <xf numFmtId="0" fontId="11" fillId="3" borderId="0" xfId="0" applyFont="1" applyFill="1"/>
    <xf numFmtId="0" fontId="11" fillId="0" borderId="0" xfId="0" applyFont="1"/>
    <xf numFmtId="0" fontId="11" fillId="0" borderId="9" xfId="0" applyFont="1" applyBorder="1"/>
    <xf numFmtId="0" fontId="12" fillId="4" borderId="4" xfId="0" applyFont="1" applyFill="1" applyBorder="1" applyAlignment="1">
      <alignment horizontal="center"/>
    </xf>
    <xf numFmtId="0" fontId="13" fillId="4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13" fillId="4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0" fontId="14" fillId="4" borderId="61" xfId="0" applyFont="1" applyFill="1" applyBorder="1" applyAlignment="1">
      <alignment horizontal="center" vertical="center"/>
    </xf>
    <xf numFmtId="0" fontId="11" fillId="4" borderId="58" xfId="0" applyFont="1" applyFill="1" applyBorder="1"/>
    <xf numFmtId="0" fontId="11" fillId="4" borderId="62" xfId="0" applyFont="1" applyFill="1" applyBorder="1"/>
    <xf numFmtId="0" fontId="11" fillId="4" borderId="61" xfId="0" applyFont="1" applyFill="1" applyBorder="1"/>
    <xf numFmtId="0" fontId="14" fillId="4" borderId="59" xfId="0" applyFont="1" applyFill="1" applyBorder="1" applyAlignment="1">
      <alignment horizontal="center" vertical="center"/>
    </xf>
    <xf numFmtId="0" fontId="14" fillId="4" borderId="63" xfId="0" applyFont="1" applyFill="1" applyBorder="1" applyAlignment="1">
      <alignment horizontal="center" vertical="center"/>
    </xf>
    <xf numFmtId="0" fontId="14" fillId="4" borderId="63" xfId="0" applyFont="1" applyFill="1" applyBorder="1" applyAlignment="1">
      <alignment horizontal="left" vertical="center"/>
    </xf>
    <xf numFmtId="0" fontId="11" fillId="4" borderId="59" xfId="0" applyFont="1" applyFill="1" applyBorder="1"/>
    <xf numFmtId="0" fontId="14" fillId="4" borderId="0" xfId="0" applyFont="1" applyFill="1"/>
    <xf numFmtId="0" fontId="14" fillId="3" borderId="22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/>
    </xf>
    <xf numFmtId="165" fontId="14" fillId="3" borderId="23" xfId="0" applyNumberFormat="1" applyFont="1" applyFill="1" applyBorder="1" applyAlignment="1">
      <alignment horizontal="center" vertical="center"/>
    </xf>
    <xf numFmtId="0" fontId="11" fillId="4" borderId="4" xfId="0" applyFont="1" applyFill="1" applyBorder="1"/>
    <xf numFmtId="0" fontId="11" fillId="4" borderId="0" xfId="0" applyFont="1" applyFill="1"/>
    <xf numFmtId="0" fontId="11" fillId="4" borderId="5" xfId="0" applyFont="1" applyFill="1" applyBorder="1"/>
    <xf numFmtId="0" fontId="14" fillId="4" borderId="60" xfId="0" applyFont="1" applyFill="1" applyBorder="1" applyAlignment="1">
      <alignment horizontal="center" vertical="center"/>
    </xf>
    <xf numFmtId="0" fontId="14" fillId="4" borderId="57" xfId="0" applyFont="1" applyFill="1" applyBorder="1" applyAlignment="1">
      <alignment horizontal="center" vertical="center"/>
    </xf>
    <xf numFmtId="0" fontId="14" fillId="4" borderId="64" xfId="0" applyFont="1" applyFill="1" applyBorder="1" applyAlignment="1">
      <alignment horizontal="center" vertical="center"/>
    </xf>
    <xf numFmtId="0" fontId="11" fillId="4" borderId="28" xfId="0" applyFont="1" applyFill="1" applyBorder="1"/>
    <xf numFmtId="0" fontId="11" fillId="4" borderId="29" xfId="0" applyFont="1" applyFill="1" applyBorder="1"/>
    <xf numFmtId="0" fontId="11" fillId="4" borderId="30" xfId="0" applyFont="1" applyFill="1" applyBorder="1"/>
    <xf numFmtId="0" fontId="11" fillId="4" borderId="31" xfId="0" applyFont="1" applyFill="1" applyBorder="1"/>
    <xf numFmtId="0" fontId="11" fillId="4" borderId="32" xfId="0" applyFont="1" applyFill="1" applyBorder="1"/>
    <xf numFmtId="0" fontId="14" fillId="3" borderId="0" xfId="0" applyFont="1" applyFill="1" applyAlignment="1">
      <alignment horizontal="center" vertical="center"/>
    </xf>
    <xf numFmtId="0" fontId="11" fillId="4" borderId="33" xfId="0" applyFont="1" applyFill="1" applyBorder="1"/>
    <xf numFmtId="0" fontId="11" fillId="4" borderId="34" xfId="0" applyFont="1" applyFill="1" applyBorder="1"/>
    <xf numFmtId="0" fontId="11" fillId="4" borderId="35" xfId="0" applyFont="1" applyFill="1" applyBorder="1"/>
    <xf numFmtId="0" fontId="11" fillId="4" borderId="6" xfId="0" applyFont="1" applyFill="1" applyBorder="1"/>
    <xf numFmtId="0" fontId="11" fillId="4" borderId="7" xfId="0" applyFont="1" applyFill="1" applyBorder="1"/>
    <xf numFmtId="0" fontId="11" fillId="4" borderId="8" xfId="0" applyFont="1" applyFill="1" applyBorder="1"/>
    <xf numFmtId="14" fontId="14" fillId="3" borderId="22" xfId="0" applyNumberFormat="1" applyFont="1" applyFill="1" applyBorder="1" applyAlignment="1">
      <alignment horizontal="center"/>
    </xf>
    <xf numFmtId="165" fontId="14" fillId="3" borderId="53" xfId="0" applyNumberFormat="1" applyFont="1" applyFill="1" applyBorder="1" applyAlignment="1">
      <alignment horizontal="center" vertical="center"/>
    </xf>
    <xf numFmtId="0" fontId="11" fillId="4" borderId="63" xfId="0" applyFont="1" applyFill="1" applyBorder="1"/>
    <xf numFmtId="14" fontId="14" fillId="3" borderId="54" xfId="0" applyNumberFormat="1" applyFont="1" applyFill="1" applyBorder="1" applyAlignment="1">
      <alignment horizontal="center"/>
    </xf>
    <xf numFmtId="0" fontId="11" fillId="4" borderId="57" xfId="0" applyFont="1" applyFill="1" applyBorder="1"/>
    <xf numFmtId="0" fontId="11" fillId="4" borderId="64" xfId="0" applyFont="1" applyFill="1" applyBorder="1"/>
    <xf numFmtId="0" fontId="0" fillId="0" borderId="0" xfId="0" applyAlignment="1">
      <alignment horizontal="center"/>
    </xf>
    <xf numFmtId="166" fontId="0" fillId="0" borderId="0" xfId="0" applyNumberFormat="1" applyAlignment="1">
      <alignment horizontal="left"/>
    </xf>
    <xf numFmtId="0" fontId="10" fillId="3" borderId="0" xfId="0" applyFont="1" applyFill="1" applyAlignment="1">
      <alignment horizontal="left" vertical="center" wrapText="1"/>
    </xf>
    <xf numFmtId="0" fontId="0" fillId="10" borderId="5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70" fontId="19" fillId="12" borderId="24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left"/>
    </xf>
    <xf numFmtId="0" fontId="14" fillId="4" borderId="0" xfId="0" applyFont="1" applyFill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14" fontId="0" fillId="0" borderId="0" xfId="0" applyNumberFormat="1"/>
    <xf numFmtId="14" fontId="3" fillId="0" borderId="37" xfId="0" applyNumberFormat="1" applyFont="1" applyBorder="1" applyAlignment="1">
      <alignment horizontal="left"/>
    </xf>
    <xf numFmtId="14" fontId="5" fillId="0" borderId="37" xfId="0" applyNumberFormat="1" applyFont="1" applyBorder="1"/>
    <xf numFmtId="14" fontId="0" fillId="0" borderId="0" xfId="0" applyNumberFormat="1" applyAlignment="1">
      <alignment vertical="center"/>
    </xf>
    <xf numFmtId="14" fontId="0" fillId="0" borderId="37" xfId="0" applyNumberFormat="1" applyBorder="1" applyAlignment="1">
      <alignment vertical="center"/>
    </xf>
    <xf numFmtId="14" fontId="9" fillId="10" borderId="44" xfId="0" applyNumberFormat="1" applyFont="1" applyFill="1" applyBorder="1" applyAlignment="1">
      <alignment horizontal="center" vertical="center"/>
    </xf>
    <xf numFmtId="14" fontId="9" fillId="10" borderId="45" xfId="0" applyNumberFormat="1" applyFont="1" applyFill="1" applyBorder="1" applyAlignment="1">
      <alignment horizontal="center" vertical="center"/>
    </xf>
    <xf numFmtId="14" fontId="0" fillId="3" borderId="48" xfId="0" applyNumberFormat="1" applyFill="1" applyBorder="1" applyAlignment="1">
      <alignment horizontal="center" vertical="center"/>
    </xf>
    <xf numFmtId="14" fontId="0" fillId="3" borderId="49" xfId="0" applyNumberFormat="1" applyFill="1" applyBorder="1" applyAlignment="1">
      <alignment horizontal="center" vertical="center"/>
    </xf>
    <xf numFmtId="14" fontId="9" fillId="10" borderId="47" xfId="0" applyNumberFormat="1" applyFont="1" applyFill="1" applyBorder="1" applyAlignment="1">
      <alignment horizontal="center" vertical="center"/>
    </xf>
    <xf numFmtId="14" fontId="9" fillId="10" borderId="51" xfId="0" applyNumberFormat="1" applyFont="1" applyFill="1" applyBorder="1" applyAlignment="1">
      <alignment horizontal="center" vertical="center"/>
    </xf>
    <xf numFmtId="14" fontId="0" fillId="3" borderId="0" xfId="0" applyNumberFormat="1" applyFill="1" applyAlignment="1">
      <alignment horizontal="left" vertical="center"/>
    </xf>
    <xf numFmtId="14" fontId="0" fillId="3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3" borderId="65" xfId="0" applyFill="1" applyBorder="1" applyAlignment="1">
      <alignment horizontal="center" vertical="center"/>
    </xf>
    <xf numFmtId="14" fontId="0" fillId="3" borderId="51" xfId="0" applyNumberFormat="1" applyFill="1" applyBorder="1" applyAlignment="1">
      <alignment horizontal="center" vertical="center"/>
    </xf>
    <xf numFmtId="14" fontId="0" fillId="3" borderId="66" xfId="0" applyNumberFormat="1" applyFill="1" applyBorder="1" applyAlignment="1">
      <alignment horizontal="center" vertical="center"/>
    </xf>
    <xf numFmtId="14" fontId="9" fillId="10" borderId="0" xfId="0" applyNumberFormat="1" applyFont="1" applyFill="1" applyAlignment="1">
      <alignment horizontal="center" vertical="center"/>
    </xf>
    <xf numFmtId="171" fontId="8" fillId="3" borderId="39" xfId="0" applyNumberFormat="1" applyFont="1" applyFill="1" applyBorder="1" applyAlignment="1">
      <alignment horizontal="center" vertical="center"/>
    </xf>
    <xf numFmtId="0" fontId="4" fillId="0" borderId="43" xfId="0" applyFont="1" applyBorder="1" applyAlignment="1"/>
    <xf numFmtId="167" fontId="5" fillId="3" borderId="38" xfId="0" applyNumberFormat="1" applyFont="1" applyFill="1" applyBorder="1" applyAlignment="1">
      <alignment horizontal="center" vertical="center" textRotation="90"/>
    </xf>
    <xf numFmtId="0" fontId="4" fillId="0" borderId="39" xfId="0" applyFont="1" applyBorder="1" applyAlignment="1"/>
    <xf numFmtId="0" fontId="4" fillId="0" borderId="40" xfId="0" applyFont="1" applyBorder="1" applyAlignment="1"/>
    <xf numFmtId="0" fontId="18" fillId="3" borderId="0" xfId="0" applyFont="1" applyFill="1" applyAlignment="1">
      <alignment horizontal="center" vertical="center"/>
    </xf>
    <xf numFmtId="0" fontId="0" fillId="0" borderId="0" xfId="0" applyAlignment="1"/>
    <xf numFmtId="168" fontId="0" fillId="3" borderId="11" xfId="0" applyNumberFormat="1" applyFill="1" applyBorder="1" applyAlignment="1">
      <alignment horizontal="center"/>
    </xf>
    <xf numFmtId="0" fontId="4" fillId="0" borderId="12" xfId="0" applyFont="1" applyBorder="1" applyAlignment="1"/>
    <xf numFmtId="0" fontId="4" fillId="0" borderId="13" xfId="0" applyFont="1" applyBorder="1" applyAlignment="1"/>
    <xf numFmtId="0" fontId="1" fillId="3" borderId="0" xfId="0" applyFont="1" applyFill="1" applyAlignment="1">
      <alignment horizontal="left" vertical="center"/>
    </xf>
    <xf numFmtId="0" fontId="2" fillId="0" borderId="0" xfId="0" applyFont="1" applyAlignment="1"/>
    <xf numFmtId="14" fontId="7" fillId="3" borderId="37" xfId="0" applyNumberFormat="1" applyFont="1" applyFill="1" applyBorder="1" applyAlignment="1">
      <alignment horizontal="center" vertical="center"/>
    </xf>
    <xf numFmtId="14" fontId="4" fillId="0" borderId="37" xfId="0" applyNumberFormat="1" applyFont="1" applyBorder="1" applyAlignment="1"/>
    <xf numFmtId="171" fontId="20" fillId="12" borderId="20" xfId="0" applyNumberFormat="1" applyFont="1" applyFill="1" applyBorder="1" applyAlignment="1">
      <alignment horizontal="center" vertical="center"/>
    </xf>
    <xf numFmtId="0" fontId="19" fillId="12" borderId="42" xfId="0" applyFont="1" applyFill="1" applyBorder="1" applyAlignment="1"/>
    <xf numFmtId="168" fontId="0" fillId="10" borderId="11" xfId="0" applyNumberForma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14" fontId="7" fillId="3" borderId="0" xfId="0" applyNumberFormat="1" applyFont="1" applyFill="1" applyAlignment="1">
      <alignment horizontal="center" vertical="center"/>
    </xf>
    <xf numFmtId="14" fontId="0" fillId="0" borderId="0" xfId="0" applyNumberFormat="1" applyAlignment="1"/>
    <xf numFmtId="0" fontId="0" fillId="0" borderId="52" xfId="0" applyBorder="1" applyAlignment="1">
      <alignment horizontal="center" vertical="center" wrapText="1"/>
    </xf>
    <xf numFmtId="0" fontId="4" fillId="0" borderId="52" xfId="0" applyFont="1" applyBorder="1" applyAlignment="1"/>
    <xf numFmtId="14" fontId="0" fillId="0" borderId="52" xfId="0" applyNumberFormat="1" applyBorder="1" applyAlignment="1">
      <alignment horizontal="center" vertical="center" wrapText="1"/>
    </xf>
    <xf numFmtId="14" fontId="4" fillId="0" borderId="52" xfId="0" applyNumberFormat="1" applyFont="1" applyBorder="1" applyAlignment="1"/>
    <xf numFmtId="14" fontId="0" fillId="0" borderId="0" xfId="0" applyNumberFormat="1" applyAlignment="1">
      <alignment horizontal="center" vertical="center" wrapText="1"/>
    </xf>
    <xf numFmtId="14" fontId="0" fillId="10" borderId="0" xfId="0" applyNumberFormat="1" applyFill="1" applyAlignment="1">
      <alignment horizontal="center" vertical="center"/>
    </xf>
    <xf numFmtId="0" fontId="9" fillId="10" borderId="44" xfId="0" applyFont="1" applyFill="1" applyBorder="1" applyAlignment="1">
      <alignment horizontal="left" vertical="center" wrapText="1"/>
    </xf>
    <xf numFmtId="0" fontId="4" fillId="0" borderId="44" xfId="0" applyFont="1" applyBorder="1" applyAlignment="1"/>
    <xf numFmtId="0" fontId="9" fillId="10" borderId="47" xfId="0" applyFont="1" applyFill="1" applyBorder="1" applyAlignment="1">
      <alignment horizontal="left" vertical="center" wrapText="1"/>
    </xf>
    <xf numFmtId="0" fontId="4" fillId="0" borderId="47" xfId="0" applyFont="1" applyBorder="1" applyAlignment="1"/>
    <xf numFmtId="0" fontId="0" fillId="3" borderId="11" xfId="0" applyFill="1" applyBorder="1" applyAlignment="1">
      <alignment horizontal="center" vertical="center"/>
    </xf>
    <xf numFmtId="167" fontId="19" fillId="12" borderId="10" xfId="0" applyNumberFormat="1" applyFont="1" applyFill="1" applyBorder="1" applyAlignment="1">
      <alignment horizontal="center" vertical="center" textRotation="90"/>
    </xf>
    <xf numFmtId="0" fontId="19" fillId="12" borderId="20" xfId="0" applyFont="1" applyFill="1" applyBorder="1" applyAlignment="1"/>
    <xf numFmtId="0" fontId="19" fillId="12" borderId="24" xfId="0" applyFont="1" applyFill="1" applyBorder="1" applyAlignment="1"/>
    <xf numFmtId="0" fontId="15" fillId="3" borderId="0" xfId="0" applyFont="1" applyFill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0" fontId="4" fillId="0" borderId="23" xfId="0" applyFont="1" applyBorder="1" applyAlignment="1"/>
    <xf numFmtId="0" fontId="14" fillId="3" borderId="36" xfId="0" applyFont="1" applyFill="1" applyBorder="1" applyAlignment="1">
      <alignment horizontal="center" vertical="center"/>
    </xf>
    <xf numFmtId="0" fontId="4" fillId="0" borderId="36" xfId="0" applyFont="1" applyBorder="1" applyAlignment="1"/>
    <xf numFmtId="0" fontId="9" fillId="3" borderId="0" xfId="0" applyFont="1" applyFill="1" applyAlignment="1">
      <alignment horizontal="left"/>
    </xf>
    <xf numFmtId="0" fontId="14" fillId="3" borderId="17" xfId="0" applyFont="1" applyFill="1" applyBorder="1" applyAlignment="1">
      <alignment horizontal="center" vertical="center"/>
    </xf>
    <xf numFmtId="0" fontId="4" fillId="0" borderId="18" xfId="0" applyFont="1" applyBorder="1" applyAlignment="1"/>
    <xf numFmtId="0" fontId="4" fillId="0" borderId="19" xfId="0" applyFont="1" applyBorder="1" applyAlignment="1"/>
    <xf numFmtId="0" fontId="14" fillId="3" borderId="25" xfId="0" applyFont="1" applyFill="1" applyBorder="1" applyAlignment="1">
      <alignment horizontal="center" vertical="center"/>
    </xf>
    <xf numFmtId="0" fontId="4" fillId="0" borderId="26" xfId="0" applyFont="1" applyBorder="1" applyAlignment="1"/>
    <xf numFmtId="0" fontId="4" fillId="0" borderId="27" xfId="0" applyFont="1" applyBorder="1" applyAlignment="1"/>
    <xf numFmtId="0" fontId="14" fillId="3" borderId="14" xfId="0" applyFont="1" applyFill="1" applyBorder="1" applyAlignment="1">
      <alignment horizontal="center" vertical="center"/>
    </xf>
    <xf numFmtId="0" fontId="4" fillId="0" borderId="15" xfId="0" applyFont="1" applyBorder="1" applyAlignment="1"/>
    <xf numFmtId="0" fontId="4" fillId="0" borderId="16" xfId="0" applyFont="1" applyBorder="1" applyAlignment="1"/>
    <xf numFmtId="0" fontId="14" fillId="3" borderId="11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14" fillId="8" borderId="17" xfId="0" applyFont="1" applyFill="1" applyBorder="1" applyAlignment="1">
      <alignment horizontal="center" vertical="center"/>
    </xf>
    <xf numFmtId="0" fontId="14" fillId="9" borderId="17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/>
    </xf>
    <xf numFmtId="0" fontId="4" fillId="0" borderId="21" xfId="0" applyFont="1" applyBorder="1" applyAlignment="1"/>
    <xf numFmtId="0" fontId="14" fillId="5" borderId="17" xfId="0" applyFont="1" applyFill="1" applyBorder="1" applyAlignment="1">
      <alignment horizontal="center" vertical="center"/>
    </xf>
    <xf numFmtId="0" fontId="14" fillId="7" borderId="17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left" vertical="center"/>
    </xf>
    <xf numFmtId="0" fontId="17" fillId="0" borderId="9" xfId="0" applyFont="1" applyBorder="1" applyAlignment="1"/>
    <xf numFmtId="0" fontId="11" fillId="4" borderId="1" xfId="0" applyFont="1" applyFill="1" applyBorder="1" applyAlignment="1">
      <alignment horizont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14" fillId="6" borderId="17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left" vertical="center"/>
    </xf>
  </cellXfs>
  <cellStyles count="1">
    <cellStyle name="Normale" xfId="0" builtinId="0"/>
  </cellStyles>
  <dxfs count="17">
    <dxf>
      <fill>
        <patternFill patternType="solid">
          <fgColor rgb="FF4A4A4C"/>
          <bgColor rgb="FF4A4A4C"/>
        </patternFill>
      </fill>
    </dxf>
    <dxf>
      <fill>
        <patternFill patternType="solid">
          <fgColor rgb="FF757576"/>
          <bgColor rgb="FF757576"/>
        </patternFill>
      </fill>
    </dxf>
    <dxf>
      <fill>
        <patternFill patternType="solid">
          <fgColor rgb="FFC4CACA"/>
          <bgColor rgb="FFC4CACA"/>
        </patternFill>
      </fill>
    </dxf>
    <dxf>
      <fill>
        <patternFill patternType="solid">
          <fgColor rgb="FFBAC9E0"/>
          <bgColor rgb="FFBAC9E0"/>
        </patternFill>
      </fill>
    </dxf>
    <dxf>
      <fill>
        <patternFill patternType="solid">
          <fgColor rgb="FFC4D7DD"/>
          <bgColor rgb="FFC4D7DD"/>
        </patternFill>
      </fill>
    </dxf>
    <dxf>
      <fill>
        <patternFill patternType="solid">
          <fgColor rgb="FFCAD6C8"/>
          <bgColor rgb="FFCAD6C8"/>
        </patternFill>
      </fill>
    </dxf>
    <dxf>
      <font>
        <color rgb="FF434343"/>
      </font>
      <fill>
        <patternFill patternType="solid">
          <fgColor rgb="FFEDECE7"/>
          <bgColor rgb="FFEDECE7"/>
        </patternFill>
      </fill>
    </dxf>
    <dxf>
      <font>
        <b/>
        <color rgb="FF000000"/>
      </font>
      <fill>
        <patternFill patternType="solid">
          <fgColor rgb="FFCAD6C8"/>
          <bgColor rgb="FFCAD6C8"/>
        </patternFill>
      </fill>
    </dxf>
    <dxf>
      <font>
        <color rgb="FFFFFFFF"/>
      </font>
      <fill>
        <patternFill patternType="solid">
          <bgColor rgb="FFFFFFFF"/>
        </patternFill>
      </fill>
    </dxf>
    <dxf>
      <font>
        <color rgb="FF434343"/>
      </font>
      <fill>
        <patternFill patternType="solid">
          <fgColor rgb="FFEDECE7"/>
          <bgColor rgb="FFEDECE7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4A4A4C"/>
          <bgColor rgb="FF4A4A4C"/>
        </patternFill>
      </fill>
    </dxf>
    <dxf>
      <font>
        <color rgb="FFFFFFFF"/>
      </font>
      <fill>
        <patternFill patternType="solid">
          <fgColor rgb="FF757576"/>
          <bgColor rgb="FF757576"/>
        </patternFill>
      </fill>
    </dxf>
    <dxf>
      <fill>
        <patternFill patternType="solid">
          <fgColor rgb="FFC4CACA"/>
          <bgColor rgb="FFC4CACA"/>
        </patternFill>
      </fill>
    </dxf>
    <dxf>
      <fill>
        <patternFill patternType="solid">
          <fgColor rgb="FFBAC9E0"/>
          <bgColor rgb="FFBAC9E0"/>
        </patternFill>
      </fill>
    </dxf>
    <dxf>
      <fill>
        <patternFill patternType="solid">
          <fgColor rgb="FFC4D7DD"/>
          <bgColor rgb="FFC4D7DD"/>
        </patternFill>
      </fill>
    </dxf>
    <dxf>
      <fill>
        <patternFill patternType="solid">
          <fgColor rgb="FFCAD6C8"/>
          <bgColor rgb="FFCAD6C8"/>
        </patternFill>
      </fill>
    </dxf>
  </dxfs>
  <tableStyles count="0" defaultTableStyle="TableStyleMedium2" defaultPivotStyle="PivotStyleLight16"/>
  <colors>
    <mruColors>
      <color rgb="FFEDECE7"/>
      <color rgb="FFFFFFFF"/>
      <color rgb="FFD9D9D9"/>
      <color rgb="FFF4F6F8"/>
      <color rgb="FFCAD7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4A4A4C"/>
      </a:dk1>
      <a:lt1>
        <a:srgbClr val="FFFFFF"/>
      </a:lt1>
      <a:dk2>
        <a:srgbClr val="4A4A4C"/>
      </a:dk2>
      <a:lt2>
        <a:srgbClr val="FFFFFF"/>
      </a:lt2>
      <a:accent1>
        <a:srgbClr val="5DABD4"/>
      </a:accent1>
      <a:accent2>
        <a:srgbClr val="75CD9C"/>
      </a:accent2>
      <a:accent3>
        <a:srgbClr val="FAB861"/>
      </a:accent3>
      <a:accent4>
        <a:srgbClr val="F2606F"/>
      </a:accent4>
      <a:accent5>
        <a:srgbClr val="BADB76"/>
      </a:accent5>
      <a:accent6>
        <a:srgbClr val="9CDAF6"/>
      </a:accent6>
      <a:hlink>
        <a:srgbClr val="998AC0"/>
      </a:hlink>
      <a:folHlink>
        <a:srgbClr val="998AC0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BL53"/>
  <sheetViews>
    <sheetView showGridLines="0" topLeftCell="A8" workbookViewId="0">
      <selection activeCell="C9" sqref="C9:D9"/>
    </sheetView>
  </sheetViews>
  <sheetFormatPr defaultColWidth="0" defaultRowHeight="15.75" customHeight="1" zeroHeight="1" x14ac:dyDescent="0.15"/>
  <cols>
    <col min="1" max="30" width="3.91015625" customWidth="1"/>
    <col min="31" max="31" width="33.44140625" customWidth="1"/>
    <col min="32" max="32" width="26.8359375" customWidth="1"/>
    <col min="33" max="34" width="3.91015625" customWidth="1"/>
    <col min="35" max="64" width="3.91015625" hidden="1" customWidth="1"/>
  </cols>
  <sheetData>
    <row r="1" spans="2:63" ht="15.75" customHeight="1" x14ac:dyDescent="0.15">
      <c r="B1" s="160" t="s">
        <v>0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</row>
    <row r="2" spans="2:63" ht="15.75" customHeight="1" x14ac:dyDescent="0.15"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</row>
    <row r="3" spans="2:63" ht="15.75" customHeight="1" x14ac:dyDescent="0.15"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162" t="s">
        <v>1</v>
      </c>
      <c r="AK3" s="163"/>
      <c r="AL3" s="163"/>
      <c r="AM3" s="163"/>
      <c r="AN3" s="163"/>
      <c r="AO3" s="164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</row>
    <row r="4" spans="2:63" ht="15.75" customHeight="1" x14ac:dyDescent="0.15"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I4" s="27"/>
      <c r="AJ4" s="29" t="s">
        <v>2</v>
      </c>
      <c r="AK4" s="30" t="s">
        <v>3</v>
      </c>
      <c r="AL4" s="30" t="s">
        <v>4</v>
      </c>
      <c r="AM4" s="30" t="s">
        <v>5</v>
      </c>
      <c r="AN4" s="31" t="s">
        <v>6</v>
      </c>
      <c r="AO4" s="32" t="s">
        <v>7</v>
      </c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</row>
    <row r="5" spans="2:63" ht="22.5" customHeight="1" x14ac:dyDescent="0.15">
      <c r="B5" s="140" t="s">
        <v>8</v>
      </c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27"/>
      <c r="P5" s="140" t="s">
        <v>9</v>
      </c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27"/>
      <c r="AD5" s="140" t="s">
        <v>10</v>
      </c>
      <c r="AE5" s="105"/>
      <c r="AI5" s="27"/>
      <c r="AJ5" s="33" t="s">
        <v>11</v>
      </c>
      <c r="AK5" s="30" t="s">
        <v>12</v>
      </c>
      <c r="AL5" s="30" t="s">
        <v>13</v>
      </c>
      <c r="AM5" s="30" t="s">
        <v>14</v>
      </c>
      <c r="AN5" s="31" t="s">
        <v>15</v>
      </c>
      <c r="AO5" s="34" t="s">
        <v>16</v>
      </c>
      <c r="AP5" s="27"/>
      <c r="AQ5" s="152" t="s">
        <v>17</v>
      </c>
      <c r="AR5" s="105"/>
      <c r="AS5" s="105"/>
      <c r="AT5" s="105"/>
      <c r="AU5" s="105"/>
      <c r="AV5" s="105"/>
      <c r="AW5" s="105"/>
      <c r="AX5" s="105"/>
      <c r="AY5" s="105"/>
      <c r="AZ5" s="27"/>
      <c r="BA5" s="152" t="s">
        <v>9</v>
      </c>
      <c r="BB5" s="105"/>
      <c r="BC5" s="105"/>
      <c r="BD5" s="105"/>
      <c r="BE5" s="105"/>
      <c r="BF5" s="105"/>
      <c r="BG5" s="105"/>
      <c r="BH5" s="105"/>
      <c r="BI5" s="105"/>
      <c r="BJ5" s="105"/>
      <c r="BK5" s="105"/>
    </row>
    <row r="6" spans="2:63" ht="22.5" customHeight="1" x14ac:dyDescent="0.15">
      <c r="B6" s="35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7"/>
      <c r="O6" s="27"/>
      <c r="P6" s="35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7"/>
      <c r="AC6" s="27"/>
      <c r="AD6" s="38"/>
      <c r="AE6" s="36"/>
      <c r="AF6" s="36"/>
      <c r="AG6" s="37"/>
      <c r="AI6" s="27"/>
      <c r="AJ6" s="33" t="s">
        <v>18</v>
      </c>
      <c r="AK6" s="30" t="s">
        <v>19</v>
      </c>
      <c r="AL6" s="30" t="s">
        <v>20</v>
      </c>
      <c r="AM6" s="30" t="s">
        <v>21</v>
      </c>
      <c r="AN6" s="30" t="s">
        <v>22</v>
      </c>
      <c r="AO6" s="32" t="s">
        <v>23</v>
      </c>
      <c r="AP6" s="27"/>
      <c r="AQ6" s="150" t="str">
        <f t="shared" ref="AQ6:AQ11" si="0">IF(ISBLANK(C7),E7, CONCATENATE(C7," ",E7))</f>
        <v>Completata</v>
      </c>
      <c r="AR6" s="107"/>
      <c r="AS6" s="107"/>
      <c r="AT6" s="107"/>
      <c r="AU6" s="107"/>
      <c r="AV6" s="107"/>
      <c r="AW6" s="107"/>
      <c r="AX6" s="107"/>
      <c r="AY6" s="108"/>
      <c r="AZ6" s="27"/>
      <c r="BA6" s="147">
        <f t="shared" ref="BA6:BA25" si="1">Q8</f>
        <v>0</v>
      </c>
      <c r="BB6" s="148"/>
      <c r="BC6" s="148"/>
      <c r="BD6" s="148"/>
      <c r="BE6" s="148"/>
      <c r="BF6" s="148"/>
      <c r="BG6" s="148"/>
      <c r="BH6" s="148"/>
      <c r="BI6" s="148"/>
      <c r="BJ6" s="148"/>
      <c r="BK6" s="149"/>
    </row>
    <row r="7" spans="2:63" ht="22.5" customHeight="1" x14ac:dyDescent="0.15">
      <c r="B7" s="39"/>
      <c r="C7" s="165"/>
      <c r="D7" s="142"/>
      <c r="E7" s="141" t="s">
        <v>24</v>
      </c>
      <c r="F7" s="142"/>
      <c r="G7" s="142"/>
      <c r="H7" s="142"/>
      <c r="I7" s="142"/>
      <c r="J7" s="142"/>
      <c r="K7" s="142"/>
      <c r="L7" s="142"/>
      <c r="M7" s="143"/>
      <c r="N7" s="40"/>
      <c r="O7" s="27"/>
      <c r="P7" s="39"/>
      <c r="Q7" s="166" t="s">
        <v>25</v>
      </c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41"/>
      <c r="AC7" s="27"/>
      <c r="AD7" s="42"/>
      <c r="AE7" s="43" t="s">
        <v>26</v>
      </c>
      <c r="AF7" s="78" t="s">
        <v>27</v>
      </c>
      <c r="AG7" s="41"/>
      <c r="AI7" s="27"/>
      <c r="AJ7" s="33" t="s">
        <v>28</v>
      </c>
      <c r="AK7" s="30" t="s">
        <v>29</v>
      </c>
      <c r="AL7" s="30" t="s">
        <v>30</v>
      </c>
      <c r="AM7" s="30" t="s">
        <v>31</v>
      </c>
      <c r="AN7" s="30" t="s">
        <v>32</v>
      </c>
      <c r="AO7" s="32" t="s">
        <v>33</v>
      </c>
      <c r="AP7" s="27"/>
      <c r="AQ7" s="150" t="str">
        <f t="shared" si="0"/>
        <v>Programmata</v>
      </c>
      <c r="AR7" s="107"/>
      <c r="AS7" s="107"/>
      <c r="AT7" s="107"/>
      <c r="AU7" s="107"/>
      <c r="AV7" s="107"/>
      <c r="AW7" s="107"/>
      <c r="AX7" s="107"/>
      <c r="AY7" s="108"/>
      <c r="AZ7" s="27"/>
      <c r="BA7" s="147">
        <f t="shared" si="1"/>
        <v>0</v>
      </c>
      <c r="BB7" s="148"/>
      <c r="BC7" s="148"/>
      <c r="BD7" s="148"/>
      <c r="BE7" s="148"/>
      <c r="BF7" s="148"/>
      <c r="BG7" s="148"/>
      <c r="BH7" s="148"/>
      <c r="BI7" s="148"/>
      <c r="BJ7" s="148"/>
      <c r="BK7" s="149"/>
    </row>
    <row r="8" spans="2:63" ht="22.5" customHeight="1" x14ac:dyDescent="0.15">
      <c r="B8" s="39"/>
      <c r="C8" s="158"/>
      <c r="D8" s="142"/>
      <c r="E8" s="141" t="s">
        <v>34</v>
      </c>
      <c r="F8" s="142"/>
      <c r="G8" s="142"/>
      <c r="H8" s="142"/>
      <c r="I8" s="142"/>
      <c r="J8" s="142"/>
      <c r="K8" s="142"/>
      <c r="L8" s="142"/>
      <c r="M8" s="143"/>
      <c r="N8" s="40"/>
      <c r="O8" s="27"/>
      <c r="P8" s="39"/>
      <c r="Q8" s="156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41"/>
      <c r="AC8" s="27"/>
      <c r="AD8" s="42"/>
      <c r="AE8" s="44"/>
      <c r="AF8" s="45"/>
      <c r="AG8" s="41"/>
      <c r="AI8" s="27"/>
      <c r="AJ8" s="33" t="s">
        <v>35</v>
      </c>
      <c r="AK8" s="30" t="s">
        <v>36</v>
      </c>
      <c r="AL8" s="31" t="s">
        <v>37</v>
      </c>
      <c r="AM8" s="31" t="s">
        <v>38</v>
      </c>
      <c r="AN8" s="31" t="s">
        <v>39</v>
      </c>
      <c r="AO8" s="34" t="s">
        <v>40</v>
      </c>
      <c r="AP8" s="27"/>
      <c r="AQ8" s="150" t="str">
        <f t="shared" si="0"/>
        <v>In corso</v>
      </c>
      <c r="AR8" s="107"/>
      <c r="AS8" s="107"/>
      <c r="AT8" s="107"/>
      <c r="AU8" s="107"/>
      <c r="AV8" s="107"/>
      <c r="AW8" s="107"/>
      <c r="AX8" s="107"/>
      <c r="AY8" s="108"/>
      <c r="AZ8" s="27"/>
      <c r="BA8" s="147">
        <f t="shared" si="1"/>
        <v>0</v>
      </c>
      <c r="BB8" s="148"/>
      <c r="BC8" s="148"/>
      <c r="BD8" s="148"/>
      <c r="BE8" s="148"/>
      <c r="BF8" s="148"/>
      <c r="BG8" s="148"/>
      <c r="BH8" s="148"/>
      <c r="BI8" s="148"/>
      <c r="BJ8" s="148"/>
      <c r="BK8" s="149"/>
    </row>
    <row r="9" spans="2:63" ht="22.5" customHeight="1" x14ac:dyDescent="0.15">
      <c r="B9" s="39"/>
      <c r="C9" s="159"/>
      <c r="D9" s="142"/>
      <c r="E9" s="141" t="s">
        <v>41</v>
      </c>
      <c r="F9" s="142"/>
      <c r="G9" s="142"/>
      <c r="H9" s="142"/>
      <c r="I9" s="142"/>
      <c r="J9" s="142"/>
      <c r="K9" s="142"/>
      <c r="L9" s="142"/>
      <c r="M9" s="143"/>
      <c r="N9" s="40"/>
      <c r="O9" s="27"/>
      <c r="P9" s="39"/>
      <c r="Q9" s="136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41"/>
      <c r="AC9" s="27"/>
      <c r="AD9" s="42"/>
      <c r="AE9" s="44"/>
      <c r="AF9" s="46"/>
      <c r="AG9" s="41"/>
      <c r="AI9" s="27"/>
      <c r="AJ9" s="47" t="s">
        <v>42</v>
      </c>
      <c r="AK9" s="48" t="s">
        <v>43</v>
      </c>
      <c r="AL9" s="48" t="s">
        <v>44</v>
      </c>
      <c r="AM9" s="48" t="s">
        <v>45</v>
      </c>
      <c r="AN9" s="48" t="s">
        <v>46</v>
      </c>
      <c r="AO9" s="49" t="s">
        <v>47</v>
      </c>
      <c r="AP9" s="27"/>
      <c r="AQ9" s="150" t="str">
        <f t="shared" si="0"/>
        <v>Da pianificare</v>
      </c>
      <c r="AR9" s="107"/>
      <c r="AS9" s="107"/>
      <c r="AT9" s="107"/>
      <c r="AU9" s="107"/>
      <c r="AV9" s="107"/>
      <c r="AW9" s="107"/>
      <c r="AX9" s="107"/>
      <c r="AY9" s="108"/>
      <c r="AZ9" s="27"/>
      <c r="BA9" s="147">
        <f t="shared" si="1"/>
        <v>0</v>
      </c>
      <c r="BB9" s="148"/>
      <c r="BC9" s="148"/>
      <c r="BD9" s="148"/>
      <c r="BE9" s="148"/>
      <c r="BF9" s="148"/>
      <c r="BG9" s="148"/>
      <c r="BH9" s="148"/>
      <c r="BI9" s="148"/>
      <c r="BJ9" s="148"/>
      <c r="BK9" s="149"/>
    </row>
    <row r="10" spans="2:63" ht="22.5" customHeight="1" x14ac:dyDescent="0.15">
      <c r="B10" s="39"/>
      <c r="C10" s="155"/>
      <c r="D10" s="142"/>
      <c r="E10" s="141" t="s">
        <v>48</v>
      </c>
      <c r="F10" s="142"/>
      <c r="G10" s="142"/>
      <c r="H10" s="142"/>
      <c r="I10" s="142"/>
      <c r="J10" s="142"/>
      <c r="K10" s="142"/>
      <c r="L10" s="142"/>
      <c r="M10" s="143"/>
      <c r="N10" s="40"/>
      <c r="O10" s="27"/>
      <c r="P10" s="39"/>
      <c r="Q10" s="136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41"/>
      <c r="AC10" s="27"/>
      <c r="AD10" s="42"/>
      <c r="AE10" s="44"/>
      <c r="AF10" s="46"/>
      <c r="AG10" s="41"/>
      <c r="AI10" s="27"/>
      <c r="AJ10" s="33" t="s">
        <v>49</v>
      </c>
      <c r="AK10" s="30" t="s">
        <v>50</v>
      </c>
      <c r="AL10" s="30" t="s">
        <v>51</v>
      </c>
      <c r="AM10" s="30" t="s">
        <v>52</v>
      </c>
      <c r="AN10" s="31" t="s">
        <v>53</v>
      </c>
      <c r="AO10" s="34" t="s">
        <v>54</v>
      </c>
      <c r="AP10" s="27"/>
      <c r="AQ10" s="150" t="str">
        <f t="shared" si="0"/>
        <v>Da iniziare</v>
      </c>
      <c r="AR10" s="107"/>
      <c r="AS10" s="107"/>
      <c r="AT10" s="107"/>
      <c r="AU10" s="107"/>
      <c r="AV10" s="107"/>
      <c r="AW10" s="107"/>
      <c r="AX10" s="107"/>
      <c r="AY10" s="108"/>
      <c r="AZ10" s="27"/>
      <c r="BA10" s="147">
        <f t="shared" si="1"/>
        <v>0</v>
      </c>
      <c r="BB10" s="148"/>
      <c r="BC10" s="148"/>
      <c r="BD10" s="148"/>
      <c r="BE10" s="148"/>
      <c r="BF10" s="148"/>
      <c r="BG10" s="148"/>
      <c r="BH10" s="148"/>
      <c r="BI10" s="148"/>
      <c r="BJ10" s="148"/>
      <c r="BK10" s="149"/>
    </row>
    <row r="11" spans="2:63" ht="22.5" customHeight="1" x14ac:dyDescent="0.15">
      <c r="B11" s="39"/>
      <c r="C11" s="153"/>
      <c r="D11" s="142"/>
      <c r="E11" s="141" t="s">
        <v>55</v>
      </c>
      <c r="F11" s="142"/>
      <c r="G11" s="142"/>
      <c r="H11" s="142"/>
      <c r="I11" s="142"/>
      <c r="J11" s="142"/>
      <c r="K11" s="142"/>
      <c r="L11" s="142"/>
      <c r="M11" s="143"/>
      <c r="N11" s="40"/>
      <c r="O11" s="27"/>
      <c r="P11" s="39"/>
      <c r="Q11" s="136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41"/>
      <c r="AC11" s="27"/>
      <c r="AD11" s="42"/>
      <c r="AE11" s="44"/>
      <c r="AF11" s="46"/>
      <c r="AG11" s="41"/>
      <c r="AI11" s="27"/>
      <c r="AJ11" s="29" t="s">
        <v>56</v>
      </c>
      <c r="AK11" s="30" t="s">
        <v>57</v>
      </c>
      <c r="AL11" s="30" t="s">
        <v>58</v>
      </c>
      <c r="AM11" s="30" t="s">
        <v>59</v>
      </c>
      <c r="AN11" s="30" t="s">
        <v>60</v>
      </c>
      <c r="AO11" s="34" t="s">
        <v>61</v>
      </c>
      <c r="AP11" s="27"/>
      <c r="AQ11" s="150" t="str">
        <f t="shared" si="0"/>
        <v>In Revisione</v>
      </c>
      <c r="AR11" s="107"/>
      <c r="AS11" s="107"/>
      <c r="AT11" s="107"/>
      <c r="AU11" s="107"/>
      <c r="AV11" s="107"/>
      <c r="AW11" s="107"/>
      <c r="AX11" s="107"/>
      <c r="AY11" s="108"/>
      <c r="AZ11" s="27"/>
      <c r="BA11" s="147">
        <f t="shared" si="1"/>
        <v>0</v>
      </c>
      <c r="BB11" s="148"/>
      <c r="BC11" s="148"/>
      <c r="BD11" s="148"/>
      <c r="BE11" s="148"/>
      <c r="BF11" s="148"/>
      <c r="BG11" s="148"/>
      <c r="BH11" s="148"/>
      <c r="BI11" s="148"/>
      <c r="BJ11" s="148"/>
      <c r="BK11" s="149"/>
    </row>
    <row r="12" spans="2:63" ht="22.5" customHeight="1" x14ac:dyDescent="0.15">
      <c r="B12" s="39"/>
      <c r="C12" s="154"/>
      <c r="D12" s="142"/>
      <c r="E12" s="141" t="s">
        <v>62</v>
      </c>
      <c r="F12" s="142"/>
      <c r="G12" s="142"/>
      <c r="H12" s="142"/>
      <c r="I12" s="142"/>
      <c r="J12" s="142"/>
      <c r="K12" s="142"/>
      <c r="L12" s="142"/>
      <c r="M12" s="143"/>
      <c r="N12" s="40"/>
      <c r="O12" s="27"/>
      <c r="P12" s="39"/>
      <c r="Q12" s="136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41"/>
      <c r="AC12" s="27"/>
      <c r="AD12" s="42"/>
      <c r="AE12" s="44"/>
      <c r="AF12" s="46"/>
      <c r="AG12" s="41"/>
      <c r="AI12" s="27"/>
      <c r="AJ12" s="29" t="s">
        <v>63</v>
      </c>
      <c r="AK12" s="30" t="s">
        <v>64</v>
      </c>
      <c r="AL12" s="30" t="s">
        <v>65</v>
      </c>
      <c r="AM12" s="30" t="s">
        <v>66</v>
      </c>
      <c r="AN12" s="30" t="s">
        <v>67</v>
      </c>
      <c r="AO12" s="32" t="s">
        <v>68</v>
      </c>
      <c r="AP12" s="27"/>
      <c r="AQ12" s="150"/>
      <c r="AR12" s="107"/>
      <c r="AS12" s="107"/>
      <c r="AT12" s="107"/>
      <c r="AU12" s="107"/>
      <c r="AV12" s="107"/>
      <c r="AW12" s="107"/>
      <c r="AX12" s="107"/>
      <c r="AY12" s="108"/>
      <c r="AZ12" s="27"/>
      <c r="BA12" s="147">
        <f t="shared" si="1"/>
        <v>0</v>
      </c>
      <c r="BB12" s="148"/>
      <c r="BC12" s="148"/>
      <c r="BD12" s="148"/>
      <c r="BE12" s="148"/>
      <c r="BF12" s="148"/>
      <c r="BG12" s="148"/>
      <c r="BH12" s="148"/>
      <c r="BI12" s="148"/>
      <c r="BJ12" s="148"/>
      <c r="BK12" s="149"/>
    </row>
    <row r="13" spans="2:63" ht="22.5" customHeight="1" x14ac:dyDescent="0.15">
      <c r="B13" s="50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2"/>
      <c r="O13" s="27"/>
      <c r="P13" s="39"/>
      <c r="Q13" s="136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41"/>
      <c r="AC13" s="27"/>
      <c r="AD13" s="42"/>
      <c r="AE13" s="44"/>
      <c r="AF13" s="46"/>
      <c r="AG13" s="41"/>
      <c r="AI13" s="27"/>
      <c r="AJ13" s="33" t="s">
        <v>69</v>
      </c>
      <c r="AK13" s="30" t="s">
        <v>70</v>
      </c>
      <c r="AL13" s="30" t="s">
        <v>52</v>
      </c>
      <c r="AM13" s="48" t="s">
        <v>71</v>
      </c>
      <c r="AN13" s="48"/>
      <c r="AO13" s="49"/>
      <c r="AP13" s="27"/>
      <c r="AQ13" s="150"/>
      <c r="AR13" s="107"/>
      <c r="AS13" s="107"/>
      <c r="AT13" s="107"/>
      <c r="AU13" s="107"/>
      <c r="AV13" s="107"/>
      <c r="AW13" s="107"/>
      <c r="AX13" s="107"/>
      <c r="AY13" s="108"/>
      <c r="AZ13" s="27"/>
      <c r="BA13" s="147">
        <f t="shared" si="1"/>
        <v>0</v>
      </c>
      <c r="BB13" s="148"/>
      <c r="BC13" s="148"/>
      <c r="BD13" s="148"/>
      <c r="BE13" s="148"/>
      <c r="BF13" s="148"/>
      <c r="BG13" s="148"/>
      <c r="BH13" s="148"/>
      <c r="BI13" s="148"/>
      <c r="BJ13" s="148"/>
      <c r="BK13" s="149"/>
    </row>
    <row r="14" spans="2:63" ht="22.5" customHeight="1" x14ac:dyDescent="0.15"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39"/>
      <c r="Q14" s="136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41"/>
      <c r="AC14" s="27"/>
      <c r="AD14" s="42"/>
      <c r="AE14" s="44"/>
      <c r="AF14" s="46"/>
      <c r="AG14" s="41"/>
      <c r="AI14" s="27"/>
      <c r="AJ14" s="47"/>
      <c r="AK14" s="48"/>
      <c r="AL14" s="48"/>
      <c r="AM14" s="48"/>
      <c r="AN14" s="48"/>
      <c r="AO14" s="49"/>
      <c r="AP14" s="27"/>
      <c r="AQ14" s="150"/>
      <c r="AR14" s="107"/>
      <c r="AS14" s="107"/>
      <c r="AT14" s="107"/>
      <c r="AU14" s="107"/>
      <c r="AV14" s="107"/>
      <c r="AW14" s="107"/>
      <c r="AX14" s="107"/>
      <c r="AY14" s="108"/>
      <c r="AZ14" s="27"/>
      <c r="BA14" s="147">
        <f t="shared" si="1"/>
        <v>0</v>
      </c>
      <c r="BB14" s="148"/>
      <c r="BC14" s="148"/>
      <c r="BD14" s="148"/>
      <c r="BE14" s="148"/>
      <c r="BF14" s="148"/>
      <c r="BG14" s="148"/>
      <c r="BH14" s="148"/>
      <c r="BI14" s="148"/>
      <c r="BJ14" s="148"/>
      <c r="BK14" s="149"/>
    </row>
    <row r="15" spans="2:63" ht="22.5" customHeight="1" x14ac:dyDescent="0.15">
      <c r="B15" s="140" t="s">
        <v>72</v>
      </c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27"/>
      <c r="P15" s="39"/>
      <c r="Q15" s="136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41"/>
      <c r="AC15" s="27"/>
      <c r="AD15" s="42"/>
      <c r="AE15" s="44"/>
      <c r="AF15" s="46"/>
      <c r="AG15" s="41"/>
      <c r="AI15" s="27"/>
      <c r="AJ15" s="47"/>
      <c r="AK15" s="48"/>
      <c r="AL15" s="48"/>
      <c r="AM15" s="48"/>
      <c r="AN15" s="48"/>
      <c r="AO15" s="49"/>
      <c r="AP15" s="27"/>
      <c r="AQ15" s="150"/>
      <c r="AR15" s="107"/>
      <c r="AS15" s="107"/>
      <c r="AT15" s="107"/>
      <c r="AU15" s="107"/>
      <c r="AV15" s="107"/>
      <c r="AW15" s="107"/>
      <c r="AX15" s="107"/>
      <c r="AY15" s="108"/>
      <c r="AZ15" s="27"/>
      <c r="BA15" s="147">
        <f t="shared" si="1"/>
        <v>0</v>
      </c>
      <c r="BB15" s="148"/>
      <c r="BC15" s="148"/>
      <c r="BD15" s="148"/>
      <c r="BE15" s="148"/>
      <c r="BF15" s="148"/>
      <c r="BG15" s="148"/>
      <c r="BH15" s="148"/>
      <c r="BI15" s="148"/>
      <c r="BJ15" s="148"/>
      <c r="BK15" s="149"/>
    </row>
    <row r="16" spans="2:63" ht="22.5" customHeight="1" x14ac:dyDescent="0.15"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/>
      <c r="O16" s="27"/>
      <c r="P16" s="39"/>
      <c r="Q16" s="136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41"/>
      <c r="AC16" s="27"/>
      <c r="AD16" s="42"/>
      <c r="AE16" s="44"/>
      <c r="AF16" s="46"/>
      <c r="AG16" s="41"/>
      <c r="AI16" s="27"/>
      <c r="AJ16" s="47"/>
      <c r="AK16" s="48"/>
      <c r="AL16" s="48"/>
      <c r="AM16" s="48"/>
      <c r="AN16" s="48"/>
      <c r="AO16" s="49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147">
        <f t="shared" si="1"/>
        <v>0</v>
      </c>
      <c r="BB16" s="148"/>
      <c r="BC16" s="148"/>
      <c r="BD16" s="148"/>
      <c r="BE16" s="148"/>
      <c r="BF16" s="148"/>
      <c r="BG16" s="148"/>
      <c r="BH16" s="148"/>
      <c r="BI16" s="148"/>
      <c r="BJ16" s="148"/>
      <c r="BK16" s="149"/>
    </row>
    <row r="17" spans="2:63" ht="22.5" customHeight="1" x14ac:dyDescent="0.15">
      <c r="B17" s="39"/>
      <c r="C17" s="141" t="s">
        <v>71</v>
      </c>
      <c r="D17" s="142"/>
      <c r="E17" s="141" t="s">
        <v>73</v>
      </c>
      <c r="F17" s="142"/>
      <c r="G17" s="142"/>
      <c r="H17" s="142"/>
      <c r="I17" s="142"/>
      <c r="J17" s="142"/>
      <c r="K17" s="142"/>
      <c r="L17" s="142"/>
      <c r="M17" s="143"/>
      <c r="N17" s="40"/>
      <c r="O17" s="27"/>
      <c r="P17" s="39"/>
      <c r="Q17" s="136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41"/>
      <c r="AC17" s="27"/>
      <c r="AD17" s="42"/>
      <c r="AE17" s="44"/>
      <c r="AF17" s="46"/>
      <c r="AG17" s="41"/>
      <c r="AI17" s="27"/>
      <c r="AJ17" s="47"/>
      <c r="AK17" s="48"/>
      <c r="AL17" s="48"/>
      <c r="AM17" s="48"/>
      <c r="AN17" s="48"/>
      <c r="AO17" s="49"/>
      <c r="AP17" s="27"/>
      <c r="AQ17" s="152" t="s">
        <v>72</v>
      </c>
      <c r="AR17" s="105"/>
      <c r="AS17" s="105"/>
      <c r="AT17" s="105"/>
      <c r="AU17" s="105"/>
      <c r="AV17" s="105"/>
      <c r="AW17" s="105"/>
      <c r="AX17" s="105"/>
      <c r="AY17" s="105"/>
      <c r="AZ17" s="27"/>
      <c r="BA17" s="147">
        <f t="shared" si="1"/>
        <v>0</v>
      </c>
      <c r="BB17" s="148"/>
      <c r="BC17" s="148"/>
      <c r="BD17" s="148"/>
      <c r="BE17" s="148"/>
      <c r="BF17" s="148"/>
      <c r="BG17" s="148"/>
      <c r="BH17" s="148"/>
      <c r="BI17" s="148"/>
      <c r="BJ17" s="148"/>
      <c r="BK17" s="149"/>
    </row>
    <row r="18" spans="2:63" ht="22.5" customHeight="1" x14ac:dyDescent="0.15">
      <c r="B18" s="39"/>
      <c r="C18" s="141" t="s">
        <v>50</v>
      </c>
      <c r="D18" s="142"/>
      <c r="E18" s="141" t="s">
        <v>74</v>
      </c>
      <c r="F18" s="142"/>
      <c r="G18" s="142"/>
      <c r="H18" s="142"/>
      <c r="I18" s="142"/>
      <c r="J18" s="142"/>
      <c r="K18" s="142"/>
      <c r="L18" s="142"/>
      <c r="M18" s="143"/>
      <c r="N18" s="40"/>
      <c r="O18" s="27"/>
      <c r="P18" s="39"/>
      <c r="Q18" s="136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41"/>
      <c r="AC18" s="27"/>
      <c r="AD18" s="42"/>
      <c r="AE18" s="44"/>
      <c r="AF18" s="46"/>
      <c r="AG18" s="41"/>
      <c r="AI18" s="27"/>
      <c r="AJ18" s="47"/>
      <c r="AK18" s="48"/>
      <c r="AL18" s="48"/>
      <c r="AM18" s="48"/>
      <c r="AN18" s="48"/>
      <c r="AO18" s="49"/>
      <c r="AP18" s="27"/>
      <c r="AQ18" s="150" t="str">
        <f t="shared" ref="AQ18:AQ22" si="2">IF(ISBLANK(C17),E17, CONCATENATE(C17," ",E17))</f>
        <v xml:space="preserve">📅 Bassa Priorità </v>
      </c>
      <c r="AR18" s="107"/>
      <c r="AS18" s="107"/>
      <c r="AT18" s="107"/>
      <c r="AU18" s="107"/>
      <c r="AV18" s="107"/>
      <c r="AW18" s="107"/>
      <c r="AX18" s="107"/>
      <c r="AY18" s="108"/>
      <c r="AZ18" s="27"/>
      <c r="BA18" s="147">
        <f t="shared" si="1"/>
        <v>0</v>
      </c>
      <c r="BB18" s="148"/>
      <c r="BC18" s="148"/>
      <c r="BD18" s="148"/>
      <c r="BE18" s="148"/>
      <c r="BF18" s="148"/>
      <c r="BG18" s="148"/>
      <c r="BH18" s="148"/>
      <c r="BI18" s="148"/>
      <c r="BJ18" s="148"/>
      <c r="BK18" s="149"/>
    </row>
    <row r="19" spans="2:63" ht="22.5" customHeight="1" x14ac:dyDescent="0.15">
      <c r="B19" s="39"/>
      <c r="C19" s="141" t="s">
        <v>12</v>
      </c>
      <c r="D19" s="142"/>
      <c r="E19" s="141" t="s">
        <v>75</v>
      </c>
      <c r="F19" s="142"/>
      <c r="G19" s="142"/>
      <c r="H19" s="142"/>
      <c r="I19" s="142"/>
      <c r="J19" s="142"/>
      <c r="K19" s="142"/>
      <c r="L19" s="142"/>
      <c r="M19" s="143"/>
      <c r="N19" s="40"/>
      <c r="O19" s="27"/>
      <c r="P19" s="39"/>
      <c r="Q19" s="136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41"/>
      <c r="AC19" s="27"/>
      <c r="AD19" s="42"/>
      <c r="AE19" s="44"/>
      <c r="AF19" s="46"/>
      <c r="AG19" s="41"/>
      <c r="AI19" s="27"/>
      <c r="AJ19" s="47"/>
      <c r="AK19" s="48"/>
      <c r="AL19" s="48"/>
      <c r="AM19" s="48"/>
      <c r="AN19" s="48"/>
      <c r="AO19" s="49"/>
      <c r="AP19" s="27"/>
      <c r="AQ19" s="150" t="str">
        <f t="shared" si="2"/>
        <v>✏️ Media priorità</v>
      </c>
      <c r="AR19" s="107"/>
      <c r="AS19" s="107"/>
      <c r="AT19" s="107"/>
      <c r="AU19" s="107"/>
      <c r="AV19" s="107"/>
      <c r="AW19" s="107"/>
      <c r="AX19" s="107"/>
      <c r="AY19" s="108"/>
      <c r="AZ19" s="27"/>
      <c r="BA19" s="147">
        <f t="shared" si="1"/>
        <v>0</v>
      </c>
      <c r="BB19" s="148"/>
      <c r="BC19" s="148"/>
      <c r="BD19" s="148"/>
      <c r="BE19" s="148"/>
      <c r="BF19" s="148"/>
      <c r="BG19" s="148"/>
      <c r="BH19" s="148"/>
      <c r="BI19" s="148"/>
      <c r="BJ19" s="148"/>
      <c r="BK19" s="149"/>
    </row>
    <row r="20" spans="2:63" ht="22.5" customHeight="1" x14ac:dyDescent="0.15">
      <c r="B20" s="39"/>
      <c r="C20" s="141" t="s">
        <v>57</v>
      </c>
      <c r="D20" s="142"/>
      <c r="E20" s="141" t="s">
        <v>76</v>
      </c>
      <c r="F20" s="142"/>
      <c r="G20" s="142"/>
      <c r="H20" s="142"/>
      <c r="I20" s="142"/>
      <c r="J20" s="142"/>
      <c r="K20" s="142"/>
      <c r="L20" s="142"/>
      <c r="M20" s="143"/>
      <c r="N20" s="40"/>
      <c r="O20" s="27"/>
      <c r="P20" s="39"/>
      <c r="Q20" s="136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41"/>
      <c r="AC20" s="27"/>
      <c r="AD20" s="42"/>
      <c r="AE20" s="44"/>
      <c r="AF20" s="46"/>
      <c r="AG20" s="41"/>
      <c r="AI20" s="27"/>
      <c r="AJ20" s="47"/>
      <c r="AK20" s="48"/>
      <c r="AL20" s="48"/>
      <c r="AM20" s="48"/>
      <c r="AN20" s="48"/>
      <c r="AO20" s="49"/>
      <c r="AP20" s="27"/>
      <c r="AQ20" s="150" t="str">
        <f t="shared" si="2"/>
        <v>⚠️ Alta priorità</v>
      </c>
      <c r="AR20" s="107"/>
      <c r="AS20" s="107"/>
      <c r="AT20" s="107"/>
      <c r="AU20" s="107"/>
      <c r="AV20" s="107"/>
      <c r="AW20" s="107"/>
      <c r="AX20" s="107"/>
      <c r="AY20" s="108"/>
      <c r="AZ20" s="27"/>
      <c r="BA20" s="147">
        <f t="shared" si="1"/>
        <v>0</v>
      </c>
      <c r="BB20" s="148"/>
      <c r="BC20" s="148"/>
      <c r="BD20" s="148"/>
      <c r="BE20" s="148"/>
      <c r="BF20" s="148"/>
      <c r="BG20" s="148"/>
      <c r="BH20" s="148"/>
      <c r="BI20" s="148"/>
      <c r="BJ20" s="148"/>
      <c r="BK20" s="149"/>
    </row>
    <row r="21" spans="2:63" ht="22.5" customHeight="1" x14ac:dyDescent="0.15">
      <c r="B21" s="39"/>
      <c r="C21" s="144" t="s">
        <v>13</v>
      </c>
      <c r="D21" s="145"/>
      <c r="E21" s="144" t="s">
        <v>77</v>
      </c>
      <c r="F21" s="145"/>
      <c r="G21" s="145"/>
      <c r="H21" s="145"/>
      <c r="I21" s="145"/>
      <c r="J21" s="145"/>
      <c r="K21" s="145"/>
      <c r="L21" s="145"/>
      <c r="M21" s="146"/>
      <c r="N21" s="40"/>
      <c r="O21" s="27"/>
      <c r="P21" s="39"/>
      <c r="Q21" s="136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41"/>
      <c r="AC21" s="27"/>
      <c r="AD21" s="42"/>
      <c r="AE21" s="44"/>
      <c r="AF21" s="46"/>
      <c r="AG21" s="41"/>
      <c r="AI21" s="27"/>
      <c r="AJ21" s="47"/>
      <c r="AK21" s="48"/>
      <c r="AL21" s="48"/>
      <c r="AM21" s="48"/>
      <c r="AN21" s="48"/>
      <c r="AO21" s="49"/>
      <c r="AP21" s="27"/>
      <c r="AQ21" s="150" t="str">
        <f t="shared" si="2"/>
        <v>📢 Urgente</v>
      </c>
      <c r="AR21" s="107"/>
      <c r="AS21" s="107"/>
      <c r="AT21" s="107"/>
      <c r="AU21" s="107"/>
      <c r="AV21" s="107"/>
      <c r="AW21" s="107"/>
      <c r="AX21" s="107"/>
      <c r="AY21" s="108"/>
      <c r="AZ21" s="27"/>
      <c r="BA21" s="147">
        <f t="shared" si="1"/>
        <v>0</v>
      </c>
      <c r="BB21" s="148"/>
      <c r="BC21" s="148"/>
      <c r="BD21" s="148"/>
      <c r="BE21" s="148"/>
      <c r="BF21" s="148"/>
      <c r="BG21" s="148"/>
      <c r="BH21" s="148"/>
      <c r="BI21" s="148"/>
      <c r="BJ21" s="148"/>
      <c r="BK21" s="149"/>
    </row>
    <row r="22" spans="2:63" ht="22.5" customHeight="1" x14ac:dyDescent="0.15">
      <c r="B22" s="50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2"/>
      <c r="O22" s="27"/>
      <c r="P22" s="39"/>
      <c r="Q22" s="136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41"/>
      <c r="AC22" s="27"/>
      <c r="AD22" s="42"/>
      <c r="AE22" s="44"/>
      <c r="AF22" s="46"/>
      <c r="AG22" s="41"/>
      <c r="AI22" s="27"/>
      <c r="AJ22" s="47"/>
      <c r="AK22" s="48"/>
      <c r="AL22" s="48"/>
      <c r="AM22" s="48"/>
      <c r="AN22" s="48"/>
      <c r="AO22" s="49"/>
      <c r="AP22" s="27"/>
      <c r="AQ22" s="150" t="str">
        <f t="shared" si="2"/>
        <v>❗️ Critica</v>
      </c>
      <c r="AR22" s="107"/>
      <c r="AS22" s="107"/>
      <c r="AT22" s="107"/>
      <c r="AU22" s="107"/>
      <c r="AV22" s="107"/>
      <c r="AW22" s="107"/>
      <c r="AX22" s="107"/>
      <c r="AY22" s="108"/>
      <c r="AZ22" s="27"/>
      <c r="BA22" s="147">
        <f t="shared" si="1"/>
        <v>0</v>
      </c>
      <c r="BB22" s="148"/>
      <c r="BC22" s="148"/>
      <c r="BD22" s="148"/>
      <c r="BE22" s="148"/>
      <c r="BF22" s="148"/>
      <c r="BG22" s="148"/>
      <c r="BH22" s="148"/>
      <c r="BI22" s="148"/>
      <c r="BJ22" s="148"/>
      <c r="BK22" s="149"/>
    </row>
    <row r="23" spans="2:63" ht="22.5" customHeight="1" x14ac:dyDescent="0.15"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39"/>
      <c r="Q23" s="136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41"/>
      <c r="AC23" s="27"/>
      <c r="AD23" s="42"/>
      <c r="AE23" s="44"/>
      <c r="AF23" s="46"/>
      <c r="AG23" s="41"/>
      <c r="AI23" s="27"/>
      <c r="AJ23" s="47"/>
      <c r="AK23" s="48"/>
      <c r="AL23" s="48"/>
      <c r="AM23" s="48"/>
      <c r="AN23" s="48"/>
      <c r="AO23" s="49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147">
        <f t="shared" si="1"/>
        <v>0</v>
      </c>
      <c r="BB23" s="148"/>
      <c r="BC23" s="148"/>
      <c r="BD23" s="148"/>
      <c r="BE23" s="148"/>
      <c r="BF23" s="148"/>
      <c r="BG23" s="148"/>
      <c r="BH23" s="148"/>
      <c r="BI23" s="148"/>
      <c r="BJ23" s="148"/>
      <c r="BK23" s="149"/>
    </row>
    <row r="24" spans="2:63" ht="22.5" customHeight="1" x14ac:dyDescent="0.15">
      <c r="B24" s="140" t="s">
        <v>78</v>
      </c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27"/>
      <c r="P24" s="39"/>
      <c r="Q24" s="136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41"/>
      <c r="AC24" s="27"/>
      <c r="AD24" s="42"/>
      <c r="AE24" s="44"/>
      <c r="AF24" s="46"/>
      <c r="AG24" s="41"/>
      <c r="AI24" s="27"/>
      <c r="AJ24" s="47"/>
      <c r="AK24" s="48"/>
      <c r="AL24" s="48"/>
      <c r="AM24" s="48"/>
      <c r="AN24" s="48"/>
      <c r="AO24" s="49"/>
      <c r="AP24" s="27"/>
      <c r="AQ24" s="151" t="s">
        <v>79</v>
      </c>
      <c r="AR24" s="148"/>
      <c r="AS24" s="148"/>
      <c r="AT24" s="148"/>
      <c r="AU24" s="148"/>
      <c r="AV24" s="148"/>
      <c r="AW24" s="148"/>
      <c r="AX24" s="148"/>
      <c r="AY24" s="149"/>
      <c r="AZ24" s="77"/>
      <c r="BA24" s="147">
        <f t="shared" si="1"/>
        <v>0</v>
      </c>
      <c r="BB24" s="148"/>
      <c r="BC24" s="148"/>
      <c r="BD24" s="148"/>
      <c r="BE24" s="148"/>
      <c r="BF24" s="148"/>
      <c r="BG24" s="148"/>
      <c r="BH24" s="148"/>
      <c r="BI24" s="148"/>
      <c r="BJ24" s="148"/>
      <c r="BK24" s="149"/>
    </row>
    <row r="25" spans="2:63" ht="22.5" customHeight="1" x14ac:dyDescent="0.15">
      <c r="B25" s="53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5"/>
      <c r="O25" s="27"/>
      <c r="P25" s="39"/>
      <c r="Q25" s="136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41"/>
      <c r="AC25" s="27"/>
      <c r="AD25" s="42"/>
      <c r="AE25" s="44"/>
      <c r="AF25" s="46"/>
      <c r="AG25" s="41"/>
      <c r="AI25" s="27"/>
      <c r="AJ25" s="47"/>
      <c r="AK25" s="48"/>
      <c r="AL25" s="48"/>
      <c r="AM25" s="48"/>
      <c r="AN25" s="48"/>
      <c r="AO25" s="49"/>
      <c r="AP25" s="27"/>
      <c r="AQ25" s="151" t="s">
        <v>80</v>
      </c>
      <c r="AR25" s="148"/>
      <c r="AS25" s="148"/>
      <c r="AT25" s="148"/>
      <c r="AU25" s="148"/>
      <c r="AV25" s="148"/>
      <c r="AW25" s="148"/>
      <c r="AX25" s="148"/>
      <c r="AY25" s="149"/>
      <c r="AZ25" s="27"/>
      <c r="BA25" s="147">
        <f t="shared" si="1"/>
        <v>0</v>
      </c>
      <c r="BB25" s="148"/>
      <c r="BC25" s="148"/>
      <c r="BD25" s="148"/>
      <c r="BE25" s="148"/>
      <c r="BF25" s="148"/>
      <c r="BG25" s="148"/>
      <c r="BH25" s="148"/>
      <c r="BI25" s="148"/>
      <c r="BJ25" s="148"/>
      <c r="BK25" s="149"/>
    </row>
    <row r="26" spans="2:63" ht="22.5" customHeight="1" x14ac:dyDescent="0.15">
      <c r="B26" s="56"/>
      <c r="C26" s="135" t="s">
        <v>80</v>
      </c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57"/>
      <c r="O26" s="27"/>
      <c r="P26" s="39"/>
      <c r="Q26" s="136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41"/>
      <c r="AC26" s="27"/>
      <c r="AD26" s="42"/>
      <c r="AE26" s="44"/>
      <c r="AF26" s="46"/>
      <c r="AG26" s="41"/>
      <c r="AI26" s="27"/>
      <c r="AJ26" s="47"/>
      <c r="AK26" s="48"/>
      <c r="AL26" s="48"/>
      <c r="AM26" s="48"/>
      <c r="AN26" s="48"/>
      <c r="AO26" s="49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58"/>
      <c r="BD26" s="58"/>
      <c r="BE26" s="27"/>
      <c r="BF26" s="27"/>
      <c r="BG26" s="27"/>
      <c r="BH26" s="27"/>
      <c r="BI26" s="27"/>
      <c r="BJ26" s="27"/>
      <c r="BK26" s="27"/>
    </row>
    <row r="27" spans="2:63" ht="22.5" customHeight="1" x14ac:dyDescent="0.15">
      <c r="B27" s="56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57"/>
      <c r="O27" s="27"/>
      <c r="P27" s="39"/>
      <c r="Q27" s="136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41"/>
      <c r="AC27" s="27"/>
      <c r="AD27" s="42"/>
      <c r="AE27" s="44"/>
      <c r="AF27" s="46"/>
      <c r="AG27" s="41"/>
      <c r="AI27" s="27"/>
      <c r="AJ27" s="47"/>
      <c r="AK27" s="48"/>
      <c r="AL27" s="48"/>
      <c r="AM27" s="48"/>
      <c r="AN27" s="48"/>
      <c r="AO27" s="49"/>
      <c r="AP27" s="27"/>
      <c r="AQ27" s="151" t="s">
        <v>81</v>
      </c>
      <c r="AR27" s="148"/>
      <c r="AS27" s="148"/>
      <c r="AT27" s="148"/>
      <c r="AU27" s="148"/>
      <c r="AV27" s="148"/>
      <c r="AW27" s="148"/>
      <c r="AX27" s="148"/>
      <c r="AY27" s="149"/>
      <c r="AZ27" s="27"/>
      <c r="BA27" s="27"/>
      <c r="BB27" s="27"/>
      <c r="BC27" s="58"/>
      <c r="BD27" s="58"/>
      <c r="BE27" s="27"/>
      <c r="BF27" s="27"/>
      <c r="BG27" s="27"/>
      <c r="BH27" s="27"/>
      <c r="BI27" s="27"/>
      <c r="BJ27" s="27"/>
      <c r="BK27" s="27"/>
    </row>
    <row r="28" spans="2:63" ht="22.5" customHeight="1" x14ac:dyDescent="0.15">
      <c r="B28" s="59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1"/>
      <c r="O28" s="27"/>
      <c r="P28" s="39"/>
      <c r="Q28" s="136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41"/>
      <c r="AC28" s="27"/>
      <c r="AD28" s="42"/>
      <c r="AE28" s="44"/>
      <c r="AF28" s="46"/>
      <c r="AG28" s="41"/>
      <c r="AI28" s="27"/>
      <c r="AJ28" s="62"/>
      <c r="AK28" s="63"/>
      <c r="AL28" s="63"/>
      <c r="AM28" s="63"/>
      <c r="AN28" s="63"/>
      <c r="AO28" s="64"/>
      <c r="AP28" s="27"/>
      <c r="AQ28" s="151" t="s">
        <v>82</v>
      </c>
      <c r="AR28" s="148"/>
      <c r="AS28" s="148"/>
      <c r="AT28" s="148"/>
      <c r="AU28" s="148"/>
      <c r="AV28" s="148"/>
      <c r="AW28" s="148"/>
      <c r="AX28" s="148"/>
      <c r="AY28" s="149"/>
      <c r="AZ28" s="27"/>
      <c r="BA28" s="27"/>
      <c r="BB28" s="27"/>
      <c r="BC28" s="58"/>
      <c r="BD28" s="58"/>
      <c r="BE28" s="27"/>
      <c r="BF28" s="27"/>
      <c r="BG28" s="27"/>
      <c r="BH28" s="27"/>
      <c r="BI28" s="27"/>
      <c r="BJ28" s="27"/>
      <c r="BK28" s="27"/>
    </row>
    <row r="29" spans="2:63" ht="22.5" customHeight="1" x14ac:dyDescent="0.15"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/>
      <c r="P29" s="39"/>
      <c r="Q29" s="136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41"/>
      <c r="AC29" s="27"/>
      <c r="AD29" s="42"/>
      <c r="AE29" s="44"/>
      <c r="AF29" s="46"/>
      <c r="AG29" s="41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58"/>
      <c r="BD29" s="58"/>
      <c r="BE29" s="27"/>
      <c r="BF29" s="27"/>
      <c r="BG29" s="27"/>
      <c r="BH29" s="27"/>
      <c r="BI29" s="27"/>
      <c r="BJ29" s="27"/>
      <c r="BK29" s="27"/>
    </row>
    <row r="30" spans="2:63" ht="22.5" customHeight="1" x14ac:dyDescent="0.15">
      <c r="B30" s="140" t="s">
        <v>83</v>
      </c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27"/>
      <c r="P30" s="39"/>
      <c r="Q30" s="136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41"/>
      <c r="AC30" s="27"/>
      <c r="AD30" s="42"/>
      <c r="AE30" s="44"/>
      <c r="AF30" s="46"/>
      <c r="AG30" s="41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58"/>
      <c r="BD30" s="58"/>
      <c r="BE30" s="27"/>
      <c r="BF30" s="27"/>
      <c r="BG30" s="27"/>
      <c r="BH30" s="27"/>
      <c r="BI30" s="27"/>
      <c r="BJ30" s="27"/>
      <c r="BK30" s="27"/>
    </row>
    <row r="31" spans="2:63" ht="22.5" customHeight="1" x14ac:dyDescent="0.15">
      <c r="B31" s="38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7"/>
      <c r="O31" s="27"/>
      <c r="P31" s="39"/>
      <c r="Q31" s="136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41"/>
      <c r="AC31" s="27"/>
      <c r="AD31" s="42"/>
      <c r="AE31" s="65"/>
      <c r="AF31" s="66"/>
      <c r="AG31" s="41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58"/>
      <c r="BD31" s="58"/>
      <c r="BE31" s="27"/>
      <c r="BF31" s="27"/>
      <c r="BG31" s="27"/>
      <c r="BH31" s="27"/>
      <c r="BI31" s="27"/>
      <c r="BJ31" s="27"/>
      <c r="BK31" s="27"/>
    </row>
    <row r="32" spans="2:63" ht="22.5" customHeight="1" x14ac:dyDescent="0.15">
      <c r="B32" s="42"/>
      <c r="C32" s="135" t="s">
        <v>82</v>
      </c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67"/>
      <c r="O32" s="27"/>
      <c r="P32" s="39"/>
      <c r="Q32" s="136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41"/>
      <c r="AC32" s="27"/>
      <c r="AD32" s="42"/>
      <c r="AE32" s="68"/>
      <c r="AF32" s="66"/>
      <c r="AG32" s="41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58"/>
      <c r="BD32" s="58"/>
      <c r="BE32" s="27"/>
      <c r="BF32" s="27"/>
      <c r="BG32" s="27"/>
      <c r="BH32" s="27"/>
      <c r="BI32" s="27"/>
      <c r="BJ32" s="27"/>
      <c r="BK32" s="27"/>
    </row>
    <row r="33" spans="2:33" ht="22.5" customHeight="1" x14ac:dyDescent="0.15">
      <c r="B33" s="22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67"/>
      <c r="O33" s="27"/>
      <c r="P33" s="39"/>
      <c r="Q33" s="136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24"/>
      <c r="AD33" s="22"/>
      <c r="AE33" s="17"/>
      <c r="AF33" s="18"/>
      <c r="AG33" s="24"/>
    </row>
    <row r="34" spans="2:33" ht="22.5" customHeight="1" x14ac:dyDescent="0.15">
      <c r="B34" s="23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70"/>
      <c r="O34" s="27"/>
      <c r="P34" s="39"/>
      <c r="Q34" s="138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24"/>
      <c r="AD34" s="22"/>
      <c r="AE34" s="17"/>
      <c r="AF34" s="18"/>
      <c r="AG34" s="24"/>
    </row>
    <row r="35" spans="2:33" ht="22.5" customHeight="1" x14ac:dyDescent="0.15"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7"/>
      <c r="P35" s="39"/>
      <c r="Q35" s="138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24"/>
      <c r="AD35" s="22"/>
      <c r="AE35" s="17"/>
      <c r="AF35" s="18"/>
      <c r="AG35" s="24"/>
    </row>
    <row r="36" spans="2:33" ht="22.5" customHeight="1" x14ac:dyDescent="0.15"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7"/>
      <c r="P36" s="39"/>
      <c r="Q36" s="138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24"/>
      <c r="AD36" s="22"/>
      <c r="AE36" s="17"/>
      <c r="AF36" s="18"/>
      <c r="AG36" s="24"/>
    </row>
    <row r="37" spans="2:33" ht="22.5" customHeight="1" x14ac:dyDescent="0.15"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7"/>
      <c r="P37" s="39"/>
      <c r="Q37" s="138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24"/>
      <c r="AD37" s="22"/>
      <c r="AE37" s="17"/>
      <c r="AF37" s="18"/>
      <c r="AG37" s="24"/>
    </row>
    <row r="38" spans="2:33" ht="22.5" customHeight="1" x14ac:dyDescent="0.15"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7"/>
      <c r="P38" s="39"/>
      <c r="Q38" s="138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24"/>
      <c r="AD38" s="22"/>
      <c r="AE38" s="17"/>
      <c r="AF38" s="18"/>
      <c r="AG38" s="24"/>
    </row>
    <row r="39" spans="2:33" ht="22.5" customHeight="1" x14ac:dyDescent="0.15"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7"/>
      <c r="P39" s="39"/>
      <c r="Q39" s="138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24"/>
      <c r="AD39" s="22"/>
      <c r="AE39" s="17"/>
      <c r="AF39" s="18"/>
      <c r="AG39" s="24"/>
    </row>
    <row r="40" spans="2:33" ht="22.5" customHeight="1" x14ac:dyDescent="0.15"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7"/>
      <c r="P40" s="39"/>
      <c r="Q40" s="138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24"/>
      <c r="AD40" s="22"/>
      <c r="AE40" s="17"/>
      <c r="AF40" s="18"/>
      <c r="AG40" s="24"/>
    </row>
    <row r="41" spans="2:33" ht="22.5" customHeight="1" x14ac:dyDescent="0.15"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7"/>
      <c r="P41" s="39"/>
      <c r="Q41" s="138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24"/>
      <c r="AD41" s="22"/>
      <c r="AE41" s="17"/>
      <c r="AF41" s="18"/>
      <c r="AG41" s="24"/>
    </row>
    <row r="42" spans="2:33" ht="22.5" customHeight="1" x14ac:dyDescent="0.15"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/>
      <c r="P42" s="39"/>
      <c r="Q42" s="138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24"/>
      <c r="AD42" s="22"/>
      <c r="AE42" s="17"/>
      <c r="AF42" s="18"/>
      <c r="AG42" s="24"/>
    </row>
    <row r="43" spans="2:33" ht="22.5" customHeight="1" x14ac:dyDescent="0.15"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7"/>
      <c r="P43" s="39"/>
      <c r="Q43" s="138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24"/>
      <c r="AD43" s="22"/>
      <c r="AE43" s="17"/>
      <c r="AF43" s="18"/>
      <c r="AG43" s="24"/>
    </row>
    <row r="44" spans="2:33" ht="22.5" customHeight="1" x14ac:dyDescent="0.15"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/>
      <c r="P44" s="39"/>
      <c r="Q44" s="138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24"/>
      <c r="AD44" s="22"/>
      <c r="AE44" s="17"/>
      <c r="AF44" s="18"/>
      <c r="AG44" s="24"/>
    </row>
    <row r="45" spans="2:33" ht="22.5" customHeight="1" x14ac:dyDescent="0.15"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7"/>
      <c r="P45" s="39"/>
      <c r="Q45" s="138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24"/>
      <c r="AD45" s="22"/>
      <c r="AE45" s="17"/>
      <c r="AF45" s="18"/>
      <c r="AG45" s="24"/>
    </row>
    <row r="46" spans="2:33" ht="22.5" customHeight="1" x14ac:dyDescent="0.15"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7"/>
      <c r="P46" s="39"/>
      <c r="Q46" s="138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24"/>
      <c r="AD46" s="22"/>
      <c r="AE46" s="17"/>
      <c r="AF46" s="18"/>
      <c r="AG46" s="24"/>
    </row>
    <row r="47" spans="2:33" ht="22.5" customHeight="1" x14ac:dyDescent="0.15"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/>
      <c r="P47" s="39"/>
      <c r="Q47" s="138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24"/>
      <c r="AD47" s="22"/>
      <c r="AE47" s="17"/>
      <c r="AF47" s="18"/>
      <c r="AG47" s="24"/>
    </row>
    <row r="48" spans="2:33" ht="22.5" customHeight="1" x14ac:dyDescent="0.15"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7"/>
      <c r="P48" s="39"/>
      <c r="Q48" s="138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24"/>
      <c r="AD48" s="22"/>
      <c r="AE48" s="17"/>
      <c r="AF48" s="18"/>
      <c r="AG48" s="24"/>
    </row>
    <row r="49" spans="16:33" ht="22.5" customHeight="1" x14ac:dyDescent="0.15">
      <c r="P49" s="22"/>
      <c r="Q49" s="138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24"/>
      <c r="AD49" s="22"/>
      <c r="AE49" s="17"/>
      <c r="AF49" s="18"/>
      <c r="AG49" s="24"/>
    </row>
    <row r="50" spans="16:33" ht="22.5" customHeight="1" x14ac:dyDescent="0.15">
      <c r="P50" s="22"/>
      <c r="Q50" s="138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24"/>
      <c r="AD50" s="22"/>
      <c r="AE50" s="17"/>
      <c r="AF50" s="18"/>
      <c r="AG50" s="24"/>
    </row>
    <row r="51" spans="16:33" ht="22.5" customHeight="1" x14ac:dyDescent="0.15">
      <c r="P51" s="22"/>
      <c r="Q51" s="138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24"/>
      <c r="AD51" s="22"/>
      <c r="AE51" s="19"/>
      <c r="AF51" s="20"/>
      <c r="AG51" s="24"/>
    </row>
    <row r="52" spans="16:33" ht="15.75" customHeight="1" x14ac:dyDescent="0.15">
      <c r="P52" s="23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5"/>
      <c r="AD52" s="23"/>
      <c r="AE52" s="21"/>
      <c r="AF52" s="21"/>
      <c r="AG52" s="25"/>
    </row>
    <row r="53" spans="16:33" ht="15.75" customHeight="1" x14ac:dyDescent="0.15"/>
  </sheetData>
  <sheetProtection sheet="1" objects="1" scenarios="1" insertRows="0"/>
  <protectedRanges>
    <protectedRange sqref="E7:M12 C17:M21 C26:M27 C32:M33 Q8:AA51 AE8:AF51" name="Range1"/>
  </protectedRanges>
  <mergeCells count="119">
    <mergeCell ref="E8:M8"/>
    <mergeCell ref="Q8:AA8"/>
    <mergeCell ref="AQ8:AY8"/>
    <mergeCell ref="C8:D8"/>
    <mergeCell ref="C9:D9"/>
    <mergeCell ref="E9:M9"/>
    <mergeCell ref="B1:O4"/>
    <mergeCell ref="AJ3:AO3"/>
    <mergeCell ref="B5:N5"/>
    <mergeCell ref="P5:AB5"/>
    <mergeCell ref="AD5:AE5"/>
    <mergeCell ref="AQ5:AY5"/>
    <mergeCell ref="AQ6:AY6"/>
    <mergeCell ref="C7:D7"/>
    <mergeCell ref="E7:M7"/>
    <mergeCell ref="Q7:AA7"/>
    <mergeCell ref="AQ7:AY7"/>
    <mergeCell ref="AQ9:AY9"/>
    <mergeCell ref="Q9:AA9"/>
    <mergeCell ref="BA5:BK5"/>
    <mergeCell ref="BA6:BK6"/>
    <mergeCell ref="BA7:BK7"/>
    <mergeCell ref="BA8:BK8"/>
    <mergeCell ref="BA9:BK9"/>
    <mergeCell ref="BA10:BK10"/>
    <mergeCell ref="BA12:BK12"/>
    <mergeCell ref="BA13:BK13"/>
    <mergeCell ref="BA14:BK14"/>
    <mergeCell ref="BA11:BK11"/>
    <mergeCell ref="AQ10:AY10"/>
    <mergeCell ref="AQ11:AY11"/>
    <mergeCell ref="AQ12:AY12"/>
    <mergeCell ref="AQ13:AY13"/>
    <mergeCell ref="AQ14:AY14"/>
    <mergeCell ref="AQ15:AY15"/>
    <mergeCell ref="C11:D11"/>
    <mergeCell ref="E11:M11"/>
    <mergeCell ref="Q11:AA11"/>
    <mergeCell ref="C12:D12"/>
    <mergeCell ref="E12:M12"/>
    <mergeCell ref="Q12:AA12"/>
    <mergeCell ref="Q13:AA13"/>
    <mergeCell ref="C10:D10"/>
    <mergeCell ref="E10:M10"/>
    <mergeCell ref="Q10:AA10"/>
    <mergeCell ref="BA15:BK15"/>
    <mergeCell ref="BA16:BK16"/>
    <mergeCell ref="AQ22:AY22"/>
    <mergeCell ref="AQ24:AY24"/>
    <mergeCell ref="BA24:BK24"/>
    <mergeCell ref="AQ25:AY25"/>
    <mergeCell ref="BA25:BK25"/>
    <mergeCell ref="AQ27:AY27"/>
    <mergeCell ref="AQ28:AY28"/>
    <mergeCell ref="AQ17:AY17"/>
    <mergeCell ref="AQ18:AY18"/>
    <mergeCell ref="AQ19:AY19"/>
    <mergeCell ref="AQ20:AY20"/>
    <mergeCell ref="AQ21:AY21"/>
    <mergeCell ref="BA21:BK21"/>
    <mergeCell ref="BA22:BK22"/>
    <mergeCell ref="BA19:BK19"/>
    <mergeCell ref="BA20:BK20"/>
    <mergeCell ref="BA23:BK23"/>
    <mergeCell ref="BA17:BK17"/>
    <mergeCell ref="BA18:BK18"/>
    <mergeCell ref="Q45:AA45"/>
    <mergeCell ref="Q46:AA46"/>
    <mergeCell ref="Q47:AA47"/>
    <mergeCell ref="Q48:AA48"/>
    <mergeCell ref="Q49:AA49"/>
    <mergeCell ref="Q50:AA50"/>
    <mergeCell ref="Q51:AA51"/>
    <mergeCell ref="Q38:AA38"/>
    <mergeCell ref="Q39:AA39"/>
    <mergeCell ref="Q40:AA40"/>
    <mergeCell ref="Q41:AA41"/>
    <mergeCell ref="Q42:AA42"/>
    <mergeCell ref="Q43:AA43"/>
    <mergeCell ref="Q44:AA44"/>
    <mergeCell ref="C19:D19"/>
    <mergeCell ref="E19:M19"/>
    <mergeCell ref="Q19:AA19"/>
    <mergeCell ref="C20:D20"/>
    <mergeCell ref="E20:M20"/>
    <mergeCell ref="C21:D21"/>
    <mergeCell ref="E21:M21"/>
    <mergeCell ref="Q14:AA14"/>
    <mergeCell ref="B15:N15"/>
    <mergeCell ref="Q15:AA15"/>
    <mergeCell ref="Q16:AA16"/>
    <mergeCell ref="C17:D17"/>
    <mergeCell ref="E17:M17"/>
    <mergeCell ref="Q17:AA17"/>
    <mergeCell ref="Q20:AA20"/>
    <mergeCell ref="Q21:AA21"/>
    <mergeCell ref="C18:D18"/>
    <mergeCell ref="E18:M18"/>
    <mergeCell ref="Q18:AA18"/>
    <mergeCell ref="B24:N24"/>
    <mergeCell ref="Q24:AA24"/>
    <mergeCell ref="C26:M27"/>
    <mergeCell ref="Q26:AA26"/>
    <mergeCell ref="Q27:AA27"/>
    <mergeCell ref="Q28:AA28"/>
    <mergeCell ref="B30:N30"/>
    <mergeCell ref="Q22:AA22"/>
    <mergeCell ref="Q23:AA23"/>
    <mergeCell ref="Q25:AA25"/>
    <mergeCell ref="C32:M33"/>
    <mergeCell ref="Q32:AA32"/>
    <mergeCell ref="Q33:AA33"/>
    <mergeCell ref="Q34:AA34"/>
    <mergeCell ref="Q35:AA35"/>
    <mergeCell ref="Q36:AA36"/>
    <mergeCell ref="Q37:AA37"/>
    <mergeCell ref="Q29:AA29"/>
    <mergeCell ref="Q30:AA30"/>
    <mergeCell ref="Q31:AA31"/>
  </mergeCells>
  <dataValidations count="4">
    <dataValidation type="list" allowBlank="1" showErrorMessage="1" sqref="C17:C21" xr:uid="{00000000-0002-0000-0100-000000000000}">
      <formula1>$AJ$4:$AO$28</formula1>
    </dataValidation>
    <dataValidation type="date" operator="greaterThan" showDropDown="1" showErrorMessage="1" errorTitle="Please Input Valid Date" error="This field requires a date to be entered to proceed. Please ensure that you provide a complete and valid date in the correct format so that your information can be saved or processed properly." sqref="AF8:AF51" xr:uid="{00000000-0002-0000-0100-000001000000}">
      <formula1>1</formula1>
    </dataValidation>
    <dataValidation type="list" allowBlank="1" showErrorMessage="1" sqref="C26" xr:uid="{00000000-0002-0000-0100-000002000000}">
      <formula1>$AQ$24:$AY$25</formula1>
    </dataValidation>
    <dataValidation type="list" allowBlank="1" showErrorMessage="1" sqref="C32" xr:uid="{00000000-0002-0000-0100-000003000000}">
      <formula1>$AQ$27:$AY$28</formula1>
    </dataValidation>
  </dataValidation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A110"/>
  <sheetViews>
    <sheetView showGridLines="0" tabSelected="1" topLeftCell="A16" zoomScale="85" zoomScaleNormal="85" workbookViewId="0">
      <pane xSplit="7" topLeftCell="H16" activePane="topRight" state="frozen"/>
      <selection activeCell="A16" sqref="A16"/>
      <selection pane="topRight" activeCell="E29" sqref="E2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.75" customHeight="1" zeroHeight="1" x14ac:dyDescent="0.15"/>
  <cols>
    <col min="1" max="1" width="5.390625" customWidth="1"/>
    <col min="2" max="2" width="44.76953125" bestFit="1" customWidth="1"/>
    <col min="3" max="3" width="16.44921875" customWidth="1"/>
    <col min="4" max="4" width="15.91015625" customWidth="1"/>
    <col min="5" max="5" width="16.44921875" customWidth="1"/>
    <col min="6" max="6" width="14.6953125" style="81" customWidth="1"/>
    <col min="7" max="7" width="19.41796875" style="81" customWidth="1"/>
    <col min="8" max="497" width="4.58203125" customWidth="1"/>
    <col min="498" max="547" width="12.5390625" hidden="1" customWidth="1"/>
  </cols>
  <sheetData>
    <row r="1" spans="1:497" ht="15.75" customHeight="1" x14ac:dyDescent="0.15">
      <c r="B1" s="1"/>
      <c r="C1" s="1"/>
      <c r="E1" s="71"/>
      <c r="G1" s="82" t="str">
        <f>IF('Setup ⚙️'!AQ6="","Blank_Text",'Setup ⚙️'!AQ6)</f>
        <v>Completata</v>
      </c>
      <c r="H1" s="104" t="str">
        <f>IF(D4="","","W1")</f>
        <v/>
      </c>
      <c r="I1" s="104" t="str">
        <f>IF('Setup ⚙️'!$C$32="Monday",I$52,I$51)</f>
        <v/>
      </c>
      <c r="J1" s="104" t="str">
        <f>IF('Setup ⚙️'!$C$32="Monday",J$52,J$51)</f>
        <v/>
      </c>
      <c r="K1" s="104" t="str">
        <f>IF('Setup ⚙️'!$C$32="Monday",K$52,K$51)</f>
        <v/>
      </c>
      <c r="L1" s="104" t="str">
        <f>IF('Setup ⚙️'!$C$32="Monday",L$52,L$51)</f>
        <v/>
      </c>
      <c r="M1" s="104" t="str">
        <f>IF('Setup ⚙️'!$C$32="Monday",M$52,M$51)</f>
        <v/>
      </c>
      <c r="N1" s="104" t="str">
        <f>IF('Setup ⚙️'!$C$32="Monday",N$52,N$51)</f>
        <v/>
      </c>
      <c r="O1" s="104" t="str">
        <f>IF('Setup ⚙️'!$C$32="Monday",O$52,O$51)</f>
        <v/>
      </c>
      <c r="P1" s="104" t="str">
        <f>IF('Setup ⚙️'!$C$32="Monday",P$52,P$51)</f>
        <v/>
      </c>
      <c r="Q1" s="104" t="str">
        <f>IF('Setup ⚙️'!$C$32="Monday",Q$52,Q$51)</f>
        <v/>
      </c>
      <c r="R1" s="104" t="str">
        <f>IF('Setup ⚙️'!$C$32="Monday",R$52,R$51)</f>
        <v/>
      </c>
      <c r="S1" s="104" t="str">
        <f>IF('Setup ⚙️'!$C$32="Monday",S$52,S$51)</f>
        <v/>
      </c>
      <c r="T1" s="104" t="str">
        <f>IF('Setup ⚙️'!$C$32="Monday",T$52,T$51)</f>
        <v/>
      </c>
      <c r="U1" s="104" t="str">
        <f>IF('Setup ⚙️'!$C$32="Monday",U$52,U$51)</f>
        <v/>
      </c>
      <c r="V1" s="104" t="str">
        <f>IF('Setup ⚙️'!$C$32="Monday",V$52,V$51)</f>
        <v/>
      </c>
      <c r="W1" s="104" t="str">
        <f>IF('Setup ⚙️'!$C$32="Monday",W$52,W$51)</f>
        <v/>
      </c>
      <c r="X1" s="104" t="str">
        <f>IF('Setup ⚙️'!$C$32="Monday",X$52,X$51)</f>
        <v/>
      </c>
      <c r="Y1" s="104" t="str">
        <f>IF('Setup ⚙️'!$C$32="Monday",Y$52,Y$51)</f>
        <v/>
      </c>
      <c r="Z1" s="104" t="str">
        <f>IF('Setup ⚙️'!$C$32="Monday",Z$52,Z$51)</f>
        <v/>
      </c>
      <c r="AA1" s="104" t="str">
        <f>IF('Setup ⚙️'!$C$32="Monday",AA$52,AA$51)</f>
        <v/>
      </c>
      <c r="AB1" s="104" t="str">
        <f>IF('Setup ⚙️'!$C$32="Monday",AB$52,AB$51)</f>
        <v/>
      </c>
      <c r="AC1" s="104" t="str">
        <f>IF('Setup ⚙️'!$C$32="Monday",AC$52,AC$51)</f>
        <v/>
      </c>
      <c r="AD1" s="104" t="str">
        <f>IF('Setup ⚙️'!$C$32="Monday",AD$52,AD$51)</f>
        <v/>
      </c>
      <c r="AE1" s="104" t="str">
        <f>IF('Setup ⚙️'!$C$32="Monday",AE$52,AE$51)</f>
        <v/>
      </c>
      <c r="AF1" s="104" t="str">
        <f>IF('Setup ⚙️'!$C$32="Monday",AF$52,AF$51)</f>
        <v/>
      </c>
      <c r="AG1" s="104" t="str">
        <f>IF('Setup ⚙️'!$C$32="Monday",AG$52,AG$51)</f>
        <v/>
      </c>
      <c r="AH1" s="104" t="str">
        <f>IF('Setup ⚙️'!$C$32="Monday",AH$52,AH$51)</f>
        <v/>
      </c>
      <c r="AI1" s="104" t="str">
        <f>IF('Setup ⚙️'!$C$32="Monday",AI$52,AI$51)</f>
        <v/>
      </c>
      <c r="AJ1" s="104" t="str">
        <f>IF('Setup ⚙️'!$C$32="Monday",AJ$52,AJ$51)</f>
        <v/>
      </c>
      <c r="AK1" s="104" t="str">
        <f>IF('Setup ⚙️'!$C$32="Monday",AK$52,AK$51)</f>
        <v/>
      </c>
      <c r="AL1" s="104" t="str">
        <f>IF('Setup ⚙️'!$C$32="Monday",AL$52,AL$51)</f>
        <v/>
      </c>
      <c r="AM1" s="104" t="str">
        <f>IF('Setup ⚙️'!$C$32="Monday",AM$52,AM$51)</f>
        <v/>
      </c>
      <c r="AN1" s="104" t="str">
        <f>IF('Setup ⚙️'!$C$32="Monday",AN$52,AN$51)</f>
        <v/>
      </c>
      <c r="AO1" s="104" t="str">
        <f>IF('Setup ⚙️'!$C$32="Monday",AO$52,AO$51)</f>
        <v/>
      </c>
      <c r="AP1" s="104" t="str">
        <f>IF('Setup ⚙️'!$C$32="Monday",AP$52,AP$51)</f>
        <v/>
      </c>
      <c r="AQ1" s="104" t="str">
        <f>IF('Setup ⚙️'!$C$32="Monday",AQ$52,AQ$51)</f>
        <v/>
      </c>
      <c r="AR1" s="104" t="str">
        <f>IF('Setup ⚙️'!$C$32="Monday",AR$52,AR$51)</f>
        <v/>
      </c>
      <c r="AS1" s="104" t="str">
        <f>IF('Setup ⚙️'!$C$32="Monday",AS$52,AS$51)</f>
        <v/>
      </c>
      <c r="AT1" s="104" t="str">
        <f>IF('Setup ⚙️'!$C$32="Monday",AT$52,AT$51)</f>
        <v/>
      </c>
      <c r="AU1" s="104" t="str">
        <f>IF('Setup ⚙️'!$C$32="Monday",AU$52,AU$51)</f>
        <v/>
      </c>
      <c r="AV1" s="104" t="str">
        <f>IF('Setup ⚙️'!$C$32="Monday",AV$52,AV$51)</f>
        <v/>
      </c>
      <c r="AW1" s="104" t="str">
        <f>IF('Setup ⚙️'!$C$32="Monday",AW$52,AW$51)</f>
        <v/>
      </c>
      <c r="AX1" s="104" t="str">
        <f>IF('Setup ⚙️'!$C$32="Monday",AX$52,AX$51)</f>
        <v/>
      </c>
      <c r="AY1" s="104" t="str">
        <f>IF('Setup ⚙️'!$C$32="Monday",AY$52,AY$51)</f>
        <v/>
      </c>
      <c r="AZ1" s="104" t="str">
        <f>IF('Setup ⚙️'!$C$32="Monday",AZ$52,AZ$51)</f>
        <v/>
      </c>
      <c r="BA1" s="104" t="str">
        <f>IF('Setup ⚙️'!$C$32="Monday",BA$52,BA$51)</f>
        <v/>
      </c>
      <c r="BB1" s="104" t="str">
        <f>IF('Setup ⚙️'!$C$32="Monday",BB$52,BB$51)</f>
        <v/>
      </c>
      <c r="BC1" s="104" t="str">
        <f>IF('Setup ⚙️'!$C$32="Monday",BC$52,BC$51)</f>
        <v/>
      </c>
      <c r="BD1" s="104" t="str">
        <f>IF('Setup ⚙️'!$C$32="Monday",BD$52,BD$51)</f>
        <v/>
      </c>
      <c r="BE1" s="104" t="str">
        <f>IF('Setup ⚙️'!$C$32="Monday",BE$52,BE$51)</f>
        <v/>
      </c>
      <c r="BF1" s="104" t="str">
        <f>IF('Setup ⚙️'!$C$32="Monday",BF$52,BF$51)</f>
        <v/>
      </c>
      <c r="BG1" s="104" t="str">
        <f>IF('Setup ⚙️'!$C$32="Monday",BG$52,BG$51)</f>
        <v/>
      </c>
      <c r="BH1" s="104" t="str">
        <f>IF('Setup ⚙️'!$C$32="Monday",BH$52,BH$51)</f>
        <v/>
      </c>
      <c r="BI1" s="104" t="str">
        <f>IF('Setup ⚙️'!$C$32="Monday",BI$52,BI$51)</f>
        <v/>
      </c>
      <c r="BJ1" s="104" t="str">
        <f>IF('Setup ⚙️'!$C$32="Monday",BJ$52,BJ$51)</f>
        <v/>
      </c>
      <c r="BK1" s="104" t="str">
        <f>IF('Setup ⚙️'!$C$32="Monday",BK$52,BK$51)</f>
        <v/>
      </c>
      <c r="BL1" s="104" t="str">
        <f>IF('Setup ⚙️'!$C$32="Monday",BL$52,BL$51)</f>
        <v/>
      </c>
      <c r="BM1" s="104" t="str">
        <f>IF('Setup ⚙️'!$C$32="Monday",BM$52,BM$51)</f>
        <v/>
      </c>
      <c r="BN1" s="104" t="str">
        <f>IF('Setup ⚙️'!$C$32="Monday",BN$52,BN$51)</f>
        <v/>
      </c>
      <c r="BO1" s="104" t="str">
        <f>IF('Setup ⚙️'!$C$32="Monday",BO$52,BO$51)</f>
        <v/>
      </c>
      <c r="BP1" s="104" t="str">
        <f>IF('Setup ⚙️'!$C$32="Monday",BP$52,BP$51)</f>
        <v/>
      </c>
      <c r="BQ1" s="104" t="str">
        <f>IF('Setup ⚙️'!$C$32="Monday",BQ$52,BQ$51)</f>
        <v/>
      </c>
      <c r="BR1" s="104" t="str">
        <f>IF('Setup ⚙️'!$C$32="Monday",BR$52,BR$51)</f>
        <v/>
      </c>
      <c r="BS1" s="104" t="str">
        <f>IF('Setup ⚙️'!$C$32="Monday",BS$52,BS$51)</f>
        <v/>
      </c>
      <c r="BT1" s="104" t="str">
        <f>IF('Setup ⚙️'!$C$32="Monday",BT$52,BT$51)</f>
        <v/>
      </c>
      <c r="BU1" s="104" t="str">
        <f>IF('Setup ⚙️'!$C$32="Monday",BU$52,BU$51)</f>
        <v/>
      </c>
      <c r="BV1" s="104" t="str">
        <f>IF('Setup ⚙️'!$C$32="Monday",BV$52,BV$51)</f>
        <v/>
      </c>
      <c r="BW1" s="104" t="str">
        <f>IF('Setup ⚙️'!$C$32="Monday",BW$52,BW$51)</f>
        <v/>
      </c>
      <c r="BX1" s="104" t="str">
        <f>IF('Setup ⚙️'!$C$32="Monday",BX$52,BX$51)</f>
        <v/>
      </c>
      <c r="BY1" s="104" t="str">
        <f>IF('Setup ⚙️'!$C$32="Monday",BY$52,BY$51)</f>
        <v/>
      </c>
      <c r="BZ1" s="104" t="str">
        <f>IF('Setup ⚙️'!$C$32="Monday",BZ$52,BZ$51)</f>
        <v/>
      </c>
      <c r="CA1" s="104" t="str">
        <f>IF('Setup ⚙️'!$C$32="Monday",CA$52,CA$51)</f>
        <v/>
      </c>
      <c r="CB1" s="104" t="str">
        <f>IF('Setup ⚙️'!$C$32="Monday",CB$52,CB$51)</f>
        <v/>
      </c>
      <c r="CC1" s="104" t="str">
        <f>IF('Setup ⚙️'!$C$32="Monday",CC$52,CC$51)</f>
        <v/>
      </c>
      <c r="CD1" s="104" t="str">
        <f>IF('Setup ⚙️'!$C$32="Monday",CD$52,CD$51)</f>
        <v/>
      </c>
      <c r="CE1" s="104" t="str">
        <f>IF('Setup ⚙️'!$C$32="Monday",CE$52,CE$51)</f>
        <v/>
      </c>
      <c r="CF1" s="104" t="str">
        <f>IF('Setup ⚙️'!$C$32="Monday",CF$52,CF$51)</f>
        <v/>
      </c>
      <c r="CG1" s="104" t="str">
        <f>IF('Setup ⚙️'!$C$32="Monday",CG$52,CG$51)</f>
        <v/>
      </c>
      <c r="CH1" s="104" t="str">
        <f>IF('Setup ⚙️'!$C$32="Monday",CH$52,CH$51)</f>
        <v/>
      </c>
      <c r="CI1" s="104" t="str">
        <f>IF('Setup ⚙️'!$C$32="Monday",CI$52,CI$51)</f>
        <v/>
      </c>
      <c r="CJ1" s="104" t="str">
        <f>IF('Setup ⚙️'!$C$32="Monday",CJ$52,CJ$51)</f>
        <v/>
      </c>
      <c r="CK1" s="104" t="str">
        <f>IF('Setup ⚙️'!$C$32="Monday",CK$52,CK$51)</f>
        <v/>
      </c>
      <c r="CL1" s="104" t="str">
        <f>IF('Setup ⚙️'!$C$32="Monday",CL$52,CL$51)</f>
        <v/>
      </c>
      <c r="CM1" s="104" t="str">
        <f>IF('Setup ⚙️'!$C$32="Monday",CM$52,CM$51)</f>
        <v/>
      </c>
      <c r="CN1" s="104" t="str">
        <f>IF('Setup ⚙️'!$C$32="Monday",CN$52,CN$51)</f>
        <v/>
      </c>
      <c r="CO1" s="104" t="str">
        <f>IF('Setup ⚙️'!$C$32="Monday",CO$52,CO$51)</f>
        <v/>
      </c>
      <c r="CP1" s="104" t="str">
        <f>IF('Setup ⚙️'!$C$32="Monday",CP$52,CP$51)</f>
        <v/>
      </c>
      <c r="CQ1" s="104" t="str">
        <f>IF('Setup ⚙️'!$C$32="Monday",CQ$52,CQ$51)</f>
        <v/>
      </c>
      <c r="CR1" s="104" t="str">
        <f>IF('Setup ⚙️'!$C$32="Monday",CR$52,CR$51)</f>
        <v/>
      </c>
      <c r="CS1" s="104" t="str">
        <f>IF('Setup ⚙️'!$C$32="Monday",CS$52,CS$51)</f>
        <v/>
      </c>
      <c r="CT1" s="104" t="str">
        <f>IF('Setup ⚙️'!$C$32="Monday",CT$52,CT$51)</f>
        <v/>
      </c>
      <c r="CU1" s="104" t="str">
        <f>IF('Setup ⚙️'!$C$32="Monday",CU$52,CU$51)</f>
        <v/>
      </c>
      <c r="CV1" s="104" t="str">
        <f>IF('Setup ⚙️'!$C$32="Monday",CV$52,CV$51)</f>
        <v/>
      </c>
      <c r="CW1" s="104" t="str">
        <f>IF('Setup ⚙️'!$C$32="Monday",CW$52,CW$51)</f>
        <v/>
      </c>
      <c r="CX1" s="104" t="str">
        <f>IF('Setup ⚙️'!$C$32="Monday",CX$52,CX$51)</f>
        <v/>
      </c>
      <c r="CY1" s="104" t="str">
        <f>IF('Setup ⚙️'!$C$32="Monday",CY$52,CY$51)</f>
        <v/>
      </c>
      <c r="CZ1" s="104" t="str">
        <f>IF('Setup ⚙️'!$C$32="Monday",CZ$52,CZ$51)</f>
        <v/>
      </c>
      <c r="DA1" s="104" t="str">
        <f>IF('Setup ⚙️'!$C$32="Monday",DA$52,DA$51)</f>
        <v/>
      </c>
      <c r="DB1" s="104" t="str">
        <f>IF('Setup ⚙️'!$C$32="Monday",DB$52,DB$51)</f>
        <v/>
      </c>
      <c r="DC1" s="104" t="str">
        <f>IF('Setup ⚙️'!$C$32="Monday",DC$52,DC$51)</f>
        <v/>
      </c>
      <c r="DD1" s="104" t="str">
        <f>IF('Setup ⚙️'!$C$32="Monday",DD$52,DD$51)</f>
        <v/>
      </c>
      <c r="DE1" s="104" t="str">
        <f>IF('Setup ⚙️'!$C$32="Monday",DE$52,DE$51)</f>
        <v/>
      </c>
      <c r="DF1" s="104" t="str">
        <f>IF('Setup ⚙️'!$C$32="Monday",DF$52,DF$51)</f>
        <v/>
      </c>
      <c r="DG1" s="104" t="str">
        <f>IF('Setup ⚙️'!$C$32="Monday",DG$52,DG$51)</f>
        <v/>
      </c>
      <c r="DH1" s="104" t="str">
        <f>IF('Setup ⚙️'!$C$32="Monday",DH$52,DH$51)</f>
        <v/>
      </c>
      <c r="DI1" s="104" t="str">
        <f>IF('Setup ⚙️'!$C$32="Monday",DI$52,DI$51)</f>
        <v/>
      </c>
      <c r="DJ1" s="104" t="str">
        <f>IF('Setup ⚙️'!$C$32="Monday",DJ$52,DJ$51)</f>
        <v/>
      </c>
      <c r="DK1" s="104" t="str">
        <f>IF('Setup ⚙️'!$C$32="Monday",DK$52,DK$51)</f>
        <v/>
      </c>
      <c r="DL1" s="104" t="str">
        <f>IF('Setup ⚙️'!$C$32="Monday",DL$52,DL$51)</f>
        <v/>
      </c>
      <c r="DM1" s="104" t="str">
        <f>IF('Setup ⚙️'!$C$32="Monday",DM$52,DM$51)</f>
        <v/>
      </c>
      <c r="DN1" s="104" t="str">
        <f>IF('Setup ⚙️'!$C$32="Monday",DN$52,DN$51)</f>
        <v/>
      </c>
      <c r="DO1" s="104" t="str">
        <f>IF('Setup ⚙️'!$C$32="Monday",DO$52,DO$51)</f>
        <v/>
      </c>
      <c r="DP1" s="104" t="str">
        <f>IF('Setup ⚙️'!$C$32="Monday",DP$52,DP$51)</f>
        <v/>
      </c>
      <c r="DQ1" s="104" t="str">
        <f>IF('Setup ⚙️'!$C$32="Monday",DQ$52,DQ$51)</f>
        <v/>
      </c>
      <c r="DR1" s="104" t="str">
        <f>IF('Setup ⚙️'!$C$32="Monday",DR$52,DR$51)</f>
        <v/>
      </c>
      <c r="DS1" s="104" t="str">
        <f>IF('Setup ⚙️'!$C$32="Monday",DS$52,DS$51)</f>
        <v/>
      </c>
      <c r="DT1" s="104" t="str">
        <f>IF('Setup ⚙️'!$C$32="Monday",DT$52,DT$51)</f>
        <v/>
      </c>
      <c r="DU1" s="104" t="str">
        <f>IF('Setup ⚙️'!$C$32="Monday",DU$52,DU$51)</f>
        <v/>
      </c>
      <c r="DV1" s="104" t="str">
        <f>IF('Setup ⚙️'!$C$32="Monday",DV$52,DV$51)</f>
        <v/>
      </c>
      <c r="DW1" s="104" t="str">
        <f>IF('Setup ⚙️'!$C$32="Monday",DW$52,DW$51)</f>
        <v/>
      </c>
      <c r="DX1" s="104" t="str">
        <f>IF('Setup ⚙️'!$C$32="Monday",DX$52,DX$51)</f>
        <v/>
      </c>
      <c r="DY1" s="104" t="str">
        <f>IF('Setup ⚙️'!$C$32="Monday",DY$52,DY$51)</f>
        <v/>
      </c>
      <c r="DZ1" s="104" t="str">
        <f>IF('Setup ⚙️'!$C$32="Monday",DZ$52,DZ$51)</f>
        <v/>
      </c>
      <c r="EA1" s="104" t="str">
        <f>IF('Setup ⚙️'!$C$32="Monday",EA$52,EA$51)</f>
        <v/>
      </c>
      <c r="EB1" s="104" t="str">
        <f>IF('Setup ⚙️'!$C$32="Monday",EB$52,EB$51)</f>
        <v/>
      </c>
      <c r="EC1" s="104" t="str">
        <f>IF('Setup ⚙️'!$C$32="Monday",EC$52,EC$51)</f>
        <v/>
      </c>
      <c r="ED1" s="104" t="str">
        <f>IF('Setup ⚙️'!$C$32="Monday",ED$52,ED$51)</f>
        <v/>
      </c>
      <c r="EE1" s="104" t="str">
        <f>IF('Setup ⚙️'!$C$32="Monday",EE$52,EE$51)</f>
        <v/>
      </c>
      <c r="EF1" s="104" t="str">
        <f>IF('Setup ⚙️'!$C$32="Monday",EF$52,EF$51)</f>
        <v/>
      </c>
      <c r="EG1" s="104" t="str">
        <f>IF('Setup ⚙️'!$C$32="Monday",EG$52,EG$51)</f>
        <v/>
      </c>
      <c r="EH1" s="104" t="str">
        <f>IF('Setup ⚙️'!$C$32="Monday",EH$52,EH$51)</f>
        <v/>
      </c>
      <c r="EI1" s="104" t="str">
        <f>IF('Setup ⚙️'!$C$32="Monday",EI$52,EI$51)</f>
        <v/>
      </c>
      <c r="EJ1" s="104" t="str">
        <f>IF('Setup ⚙️'!$C$32="Monday",EJ$52,EJ$51)</f>
        <v/>
      </c>
      <c r="EK1" s="104" t="str">
        <f>IF('Setup ⚙️'!$C$32="Monday",EK$52,EK$51)</f>
        <v/>
      </c>
      <c r="EL1" s="104" t="str">
        <f>IF('Setup ⚙️'!$C$32="Monday",EL$52,EL$51)</f>
        <v/>
      </c>
      <c r="EM1" s="104" t="str">
        <f>IF('Setup ⚙️'!$C$32="Monday",EM$52,EM$51)</f>
        <v/>
      </c>
      <c r="EN1" s="104" t="str">
        <f>IF('Setup ⚙️'!$C$32="Monday",EN$52,EN$51)</f>
        <v/>
      </c>
      <c r="EO1" s="104" t="str">
        <f>IF('Setup ⚙️'!$C$32="Monday",EO$52,EO$51)</f>
        <v/>
      </c>
      <c r="EP1" s="104" t="str">
        <f>IF('Setup ⚙️'!$C$32="Monday",EP$52,EP$51)</f>
        <v/>
      </c>
      <c r="EQ1" s="104" t="str">
        <f>IF('Setup ⚙️'!$C$32="Monday",EQ$52,EQ$51)</f>
        <v/>
      </c>
      <c r="ER1" s="104" t="str">
        <f>IF('Setup ⚙️'!$C$32="Monday",ER$52,ER$51)</f>
        <v/>
      </c>
      <c r="ES1" s="104" t="str">
        <f>IF('Setup ⚙️'!$C$32="Monday",ES$52,ES$51)</f>
        <v/>
      </c>
      <c r="ET1" s="104" t="str">
        <f>IF('Setup ⚙️'!$C$32="Monday",ET$52,ET$51)</f>
        <v/>
      </c>
      <c r="EU1" s="104" t="str">
        <f>IF('Setup ⚙️'!$C$32="Monday",EU$52,EU$51)</f>
        <v/>
      </c>
      <c r="EV1" s="104" t="str">
        <f>IF('Setup ⚙️'!$C$32="Monday",EV$52,EV$51)</f>
        <v/>
      </c>
      <c r="EW1" s="104" t="str">
        <f>IF('Setup ⚙️'!$C$32="Monday",EW$52,EW$51)</f>
        <v/>
      </c>
      <c r="EX1" s="104" t="str">
        <f>IF('Setup ⚙️'!$C$32="Monday",EX$52,EX$51)</f>
        <v/>
      </c>
      <c r="EY1" s="104" t="str">
        <f>IF('Setup ⚙️'!$C$32="Monday",EY$52,EY$51)</f>
        <v/>
      </c>
      <c r="EZ1" s="104" t="str">
        <f>IF('Setup ⚙️'!$C$32="Monday",EZ$52,EZ$51)</f>
        <v/>
      </c>
      <c r="FA1" s="104" t="str">
        <f>IF('Setup ⚙️'!$C$32="Monday",FA$52,FA$51)</f>
        <v/>
      </c>
      <c r="FB1" s="104" t="str">
        <f>IF('Setup ⚙️'!$C$32="Monday",FB$52,FB$51)</f>
        <v/>
      </c>
      <c r="FC1" s="104" t="str">
        <f>IF('Setup ⚙️'!$C$32="Monday",FC$52,FC$51)</f>
        <v/>
      </c>
      <c r="FD1" s="104" t="str">
        <f>IF('Setup ⚙️'!$C$32="Monday",FD$52,FD$51)</f>
        <v/>
      </c>
      <c r="FE1" s="104" t="str">
        <f>IF('Setup ⚙️'!$C$32="Monday",FE$52,FE$51)</f>
        <v/>
      </c>
      <c r="FF1" s="104" t="str">
        <f>IF('Setup ⚙️'!$C$32="Monday",FF$52,FF$51)</f>
        <v/>
      </c>
      <c r="FG1" s="104" t="str">
        <f>IF('Setup ⚙️'!$C$32="Monday",FG$52,FG$51)</f>
        <v/>
      </c>
      <c r="FH1" s="104" t="str">
        <f>IF('Setup ⚙️'!$C$32="Monday",FH$52,FH$51)</f>
        <v/>
      </c>
      <c r="FI1" s="104" t="str">
        <f>IF('Setup ⚙️'!$C$32="Monday",FI$52,FI$51)</f>
        <v/>
      </c>
      <c r="FJ1" s="104" t="str">
        <f>IF('Setup ⚙️'!$C$32="Monday",FJ$52,FJ$51)</f>
        <v/>
      </c>
      <c r="FK1" s="104" t="str">
        <f>IF('Setup ⚙️'!$C$32="Monday",FK$52,FK$51)</f>
        <v/>
      </c>
      <c r="FL1" s="104" t="str">
        <f>IF('Setup ⚙️'!$C$32="Monday",FL$52,FL$51)</f>
        <v/>
      </c>
      <c r="FM1" s="104" t="str">
        <f>IF('Setup ⚙️'!$C$32="Monday",FM$52,FM$51)</f>
        <v/>
      </c>
      <c r="FN1" s="104" t="str">
        <f>IF('Setup ⚙️'!$C$32="Monday",FN$52,FN$51)</f>
        <v/>
      </c>
      <c r="FO1" s="104" t="str">
        <f>IF('Setup ⚙️'!$C$32="Monday",FO$52,FO$51)</f>
        <v/>
      </c>
      <c r="FP1" s="104" t="str">
        <f>IF('Setup ⚙️'!$C$32="Monday",FP$52,FP$51)</f>
        <v/>
      </c>
      <c r="FQ1" s="104" t="str">
        <f>IF('Setup ⚙️'!$C$32="Monday",FQ$52,FQ$51)</f>
        <v/>
      </c>
      <c r="FR1" s="104" t="str">
        <f>IF('Setup ⚙️'!$C$32="Monday",FR$52,FR$51)</f>
        <v/>
      </c>
      <c r="FS1" s="104" t="str">
        <f>IF('Setup ⚙️'!$C$32="Monday",FS$52,FS$51)</f>
        <v/>
      </c>
      <c r="FT1" s="104" t="str">
        <f>IF('Setup ⚙️'!$C$32="Monday",FT$52,FT$51)</f>
        <v/>
      </c>
      <c r="FU1" s="104" t="str">
        <f>IF('Setup ⚙️'!$C$32="Monday",FU$52,FU$51)</f>
        <v/>
      </c>
      <c r="FV1" s="104" t="str">
        <f>IF('Setup ⚙️'!$C$32="Monday",FV$52,FV$51)</f>
        <v/>
      </c>
      <c r="FW1" s="104" t="str">
        <f>IF('Setup ⚙️'!$C$32="Monday",FW$52,FW$51)</f>
        <v/>
      </c>
      <c r="FX1" s="104" t="str">
        <f>IF('Setup ⚙️'!$C$32="Monday",FX$52,FX$51)</f>
        <v/>
      </c>
      <c r="FY1" s="104" t="str">
        <f>IF('Setup ⚙️'!$C$32="Monday",FY$52,FY$51)</f>
        <v/>
      </c>
      <c r="FZ1" s="104" t="str">
        <f>IF('Setup ⚙️'!$C$32="Monday",FZ$52,FZ$51)</f>
        <v/>
      </c>
      <c r="GA1" s="104" t="str">
        <f>IF('Setup ⚙️'!$C$32="Monday",GA$52,GA$51)</f>
        <v/>
      </c>
      <c r="GB1" s="104" t="str">
        <f>IF('Setup ⚙️'!$C$32="Monday",GB$52,GB$51)</f>
        <v/>
      </c>
      <c r="GC1" s="104" t="str">
        <f>IF('Setup ⚙️'!$C$32="Monday",GC$52,GC$51)</f>
        <v/>
      </c>
      <c r="GD1" s="104" t="str">
        <f>IF('Setup ⚙️'!$C$32="Monday",GD$52,GD$51)</f>
        <v/>
      </c>
      <c r="GE1" s="104" t="str">
        <f>IF('Setup ⚙️'!$C$32="Monday",GE$52,GE$51)</f>
        <v/>
      </c>
      <c r="GF1" s="104" t="str">
        <f>IF('Setup ⚙️'!$C$32="Monday",GF$52,GF$51)</f>
        <v/>
      </c>
      <c r="GG1" s="104" t="str">
        <f>IF('Setup ⚙️'!$C$32="Monday",GG$52,GG$51)</f>
        <v/>
      </c>
      <c r="GH1" s="104" t="str">
        <f>IF('Setup ⚙️'!$C$32="Monday",GH$52,GH$51)</f>
        <v/>
      </c>
      <c r="GI1" s="104" t="str">
        <f>IF('Setup ⚙️'!$C$32="Monday",GI$52,GI$51)</f>
        <v/>
      </c>
      <c r="GJ1" s="104" t="str">
        <f>IF('Setup ⚙️'!$C$32="Monday",GJ$52,GJ$51)</f>
        <v/>
      </c>
      <c r="GK1" s="104" t="str">
        <f>IF('Setup ⚙️'!$C$32="Monday",GK$52,GK$51)</f>
        <v/>
      </c>
      <c r="GL1" s="104" t="str">
        <f>IF('Setup ⚙️'!$C$32="Monday",GL$52,GL$51)</f>
        <v/>
      </c>
      <c r="GM1" s="104" t="str">
        <f>IF('Setup ⚙️'!$C$32="Monday",GM$52,GM$51)</f>
        <v/>
      </c>
      <c r="GN1" s="104" t="str">
        <f>IF('Setup ⚙️'!$C$32="Monday",GN$52,GN$51)</f>
        <v/>
      </c>
      <c r="GO1" s="104" t="str">
        <f>IF('Setup ⚙️'!$C$32="Monday",GO$52,GO$51)</f>
        <v/>
      </c>
      <c r="GP1" s="104" t="str">
        <f>IF('Setup ⚙️'!$C$32="Monday",GP$52,GP$51)</f>
        <v/>
      </c>
      <c r="GQ1" s="104" t="str">
        <f>IF('Setup ⚙️'!$C$32="Monday",GQ$52,GQ$51)</f>
        <v/>
      </c>
      <c r="GR1" s="104" t="str">
        <f>IF('Setup ⚙️'!$C$32="Monday",GR$52,GR$51)</f>
        <v/>
      </c>
      <c r="GS1" s="104" t="str">
        <f>IF('Setup ⚙️'!$C$32="Monday",GS$52,GS$51)</f>
        <v/>
      </c>
      <c r="GT1" s="104" t="str">
        <f>IF('Setup ⚙️'!$C$32="Monday",GT$52,GT$51)</f>
        <v/>
      </c>
      <c r="GU1" s="104" t="str">
        <f>IF('Setup ⚙️'!$C$32="Monday",GU$52,GU$51)</f>
        <v/>
      </c>
      <c r="GV1" s="104" t="str">
        <f>IF('Setup ⚙️'!$C$32="Monday",GV$52,GV$51)</f>
        <v/>
      </c>
      <c r="GW1" s="104" t="str">
        <f>IF('Setup ⚙️'!$C$32="Monday",GW$52,GW$51)</f>
        <v/>
      </c>
      <c r="GX1" s="104" t="str">
        <f>IF('Setup ⚙️'!$C$32="Monday",GX$52,GX$51)</f>
        <v/>
      </c>
      <c r="GY1" s="104" t="str">
        <f>IF('Setup ⚙️'!$C$32="Monday",GY$52,GY$51)</f>
        <v/>
      </c>
      <c r="GZ1" s="104" t="str">
        <f>IF('Setup ⚙️'!$C$32="Monday",GZ$52,GZ$51)</f>
        <v/>
      </c>
      <c r="HA1" s="104" t="str">
        <f>IF('Setup ⚙️'!$C$32="Monday",HA$52,HA$51)</f>
        <v/>
      </c>
      <c r="HB1" s="104" t="str">
        <f>IF('Setup ⚙️'!$C$32="Monday",HB$52,HB$51)</f>
        <v/>
      </c>
      <c r="HC1" s="104" t="str">
        <f>IF('Setup ⚙️'!$C$32="Monday",HC$52,HC$51)</f>
        <v/>
      </c>
      <c r="HD1" s="104" t="str">
        <f>IF('Setup ⚙️'!$C$32="Monday",HD$52,HD$51)</f>
        <v/>
      </c>
      <c r="HE1" s="104" t="str">
        <f>IF('Setup ⚙️'!$C$32="Monday",HE$52,HE$51)</f>
        <v/>
      </c>
      <c r="HF1" s="104" t="str">
        <f>IF('Setup ⚙️'!$C$32="Monday",HF$52,HF$51)</f>
        <v/>
      </c>
      <c r="HG1" s="104" t="str">
        <f>IF('Setup ⚙️'!$C$32="Monday",HG$52,HG$51)</f>
        <v/>
      </c>
      <c r="HH1" s="104" t="str">
        <f>IF('Setup ⚙️'!$C$32="Monday",HH$52,HH$51)</f>
        <v/>
      </c>
      <c r="HI1" s="104" t="str">
        <f>IF('Setup ⚙️'!$C$32="Monday",HI$52,HI$51)</f>
        <v/>
      </c>
      <c r="HJ1" s="104" t="str">
        <f>IF('Setup ⚙️'!$C$32="Monday",HJ$52,HJ$51)</f>
        <v/>
      </c>
      <c r="HK1" s="104" t="str">
        <f>IF('Setup ⚙️'!$C$32="Monday",HK$52,HK$51)</f>
        <v/>
      </c>
      <c r="HL1" s="104" t="str">
        <f>IF('Setup ⚙️'!$C$32="Monday",HL$52,HL$51)</f>
        <v/>
      </c>
      <c r="HM1" s="104" t="str">
        <f>IF('Setup ⚙️'!$C$32="Monday",HM$52,HM$51)</f>
        <v/>
      </c>
      <c r="HN1" s="104" t="str">
        <f>IF('Setup ⚙️'!$C$32="Monday",HN$52,HN$51)</f>
        <v/>
      </c>
      <c r="HO1" s="104" t="str">
        <f>IF('Setup ⚙️'!$C$32="Monday",HO$52,HO$51)</f>
        <v/>
      </c>
      <c r="HP1" s="104" t="str">
        <f>IF('Setup ⚙️'!$C$32="Monday",HP$52,HP$51)</f>
        <v/>
      </c>
      <c r="HQ1" s="104" t="str">
        <f>IF('Setup ⚙️'!$C$32="Monday",HQ$52,HQ$51)</f>
        <v/>
      </c>
      <c r="HR1" s="104" t="str">
        <f>IF('Setup ⚙️'!$C$32="Monday",HR$52,HR$51)</f>
        <v/>
      </c>
      <c r="HS1" s="104" t="str">
        <f>IF('Setup ⚙️'!$C$32="Monday",HS$52,HS$51)</f>
        <v/>
      </c>
      <c r="HT1" s="104" t="str">
        <f>IF('Setup ⚙️'!$C$32="Monday",HT$52,HT$51)</f>
        <v/>
      </c>
      <c r="HU1" s="104" t="str">
        <f>IF('Setup ⚙️'!$C$32="Monday",HU$52,HU$51)</f>
        <v/>
      </c>
      <c r="HV1" s="104" t="str">
        <f>IF('Setup ⚙️'!$C$32="Monday",HV$52,HV$51)</f>
        <v/>
      </c>
      <c r="HW1" s="104" t="str">
        <f>IF('Setup ⚙️'!$C$32="Monday",HW$52,HW$51)</f>
        <v/>
      </c>
      <c r="HX1" s="104" t="str">
        <f>IF('Setup ⚙️'!$C$32="Monday",HX$52,HX$51)</f>
        <v/>
      </c>
      <c r="HY1" s="104" t="str">
        <f>IF('Setup ⚙️'!$C$32="Monday",HY$52,HY$51)</f>
        <v/>
      </c>
      <c r="HZ1" s="104" t="str">
        <f>IF('Setup ⚙️'!$C$32="Monday",HZ$52,HZ$51)</f>
        <v/>
      </c>
      <c r="IA1" s="104" t="str">
        <f>IF('Setup ⚙️'!$C$32="Monday",IA$52,IA$51)</f>
        <v/>
      </c>
      <c r="IB1" s="104" t="str">
        <f>IF('Setup ⚙️'!$C$32="Monday",IB$52,IB$51)</f>
        <v/>
      </c>
      <c r="IC1" s="104" t="str">
        <f>IF('Setup ⚙️'!$C$32="Monday",IC$52,IC$51)</f>
        <v/>
      </c>
      <c r="ID1" s="104" t="str">
        <f>IF('Setup ⚙️'!$C$32="Monday",ID$52,ID$51)</f>
        <v/>
      </c>
      <c r="IE1" s="104" t="str">
        <f>IF('Setup ⚙️'!$C$32="Monday",IE$52,IE$51)</f>
        <v/>
      </c>
      <c r="IF1" s="104" t="str">
        <f>IF('Setup ⚙️'!$C$32="Monday",IF$52,IF$51)</f>
        <v/>
      </c>
      <c r="IG1" s="104" t="str">
        <f>IF('Setup ⚙️'!$C$32="Monday",IG$52,IG$51)</f>
        <v/>
      </c>
      <c r="IH1" s="104" t="str">
        <f>IF('Setup ⚙️'!$C$32="Monday",IH$52,IH$51)</f>
        <v/>
      </c>
      <c r="II1" s="104" t="str">
        <f>IF('Setup ⚙️'!$C$32="Monday",II$52,II$51)</f>
        <v/>
      </c>
      <c r="IJ1" s="104" t="str">
        <f>IF('Setup ⚙️'!$C$32="Monday",IJ$52,IJ$51)</f>
        <v/>
      </c>
      <c r="IK1" s="104" t="str">
        <f>IF('Setup ⚙️'!$C$32="Monday",IK$52,IK$51)</f>
        <v/>
      </c>
      <c r="IL1" s="104" t="str">
        <f>IF('Setup ⚙️'!$C$32="Monday",IL$52,IL$51)</f>
        <v/>
      </c>
      <c r="IM1" s="104" t="str">
        <f>IF('Setup ⚙️'!$C$32="Monday",IM$52,IM$51)</f>
        <v/>
      </c>
      <c r="IN1" s="104" t="str">
        <f>IF('Setup ⚙️'!$C$32="Monday",IN$52,IN$51)</f>
        <v/>
      </c>
      <c r="IO1" s="104" t="str">
        <f>IF('Setup ⚙️'!$C$32="Monday",IO$52,IO$51)</f>
        <v/>
      </c>
      <c r="IP1" s="104" t="str">
        <f>IF('Setup ⚙️'!$C$32="Monday",IP$52,IP$51)</f>
        <v/>
      </c>
      <c r="IQ1" s="104" t="str">
        <f>IF('Setup ⚙️'!$C$32="Monday",IQ$52,IQ$51)</f>
        <v/>
      </c>
      <c r="IR1" s="104" t="str">
        <f>IF('Setup ⚙️'!$C$32="Monday",IR$52,IR$51)</f>
        <v/>
      </c>
      <c r="IS1" s="104" t="str">
        <f>IF('Setup ⚙️'!$C$32="Monday",IS$52,IS$51)</f>
        <v/>
      </c>
      <c r="IT1" s="104" t="str">
        <f>IF('Setup ⚙️'!$C$32="Monday",IT$52,IT$51)</f>
        <v/>
      </c>
      <c r="IU1" s="104" t="str">
        <f>IF('Setup ⚙️'!$C$32="Monday",IU$52,IU$51)</f>
        <v/>
      </c>
      <c r="IV1" s="104" t="str">
        <f>IF('Setup ⚙️'!$C$32="Monday",IV$52,IV$51)</f>
        <v/>
      </c>
      <c r="IW1" s="104" t="str">
        <f>IF('Setup ⚙️'!$C$32="Monday",IW$52,IW$51)</f>
        <v/>
      </c>
      <c r="IX1" s="104" t="str">
        <f>IF('Setup ⚙️'!$C$32="Monday",IX$52,IX$51)</f>
        <v/>
      </c>
      <c r="IY1" s="104" t="str">
        <f>IF('Setup ⚙️'!$C$32="Monday",IY$52,IY$51)</f>
        <v/>
      </c>
      <c r="IZ1" s="104" t="str">
        <f>IF('Setup ⚙️'!$C$32="Monday",IZ$52,IZ$51)</f>
        <v/>
      </c>
      <c r="JA1" s="104" t="str">
        <f>IF('Setup ⚙️'!$C$32="Monday",JA$52,JA$51)</f>
        <v/>
      </c>
      <c r="JB1" s="104" t="str">
        <f>IF('Setup ⚙️'!$C$32="Monday",JB$52,JB$51)</f>
        <v/>
      </c>
      <c r="JC1" s="104" t="str">
        <f>IF('Setup ⚙️'!$C$32="Monday",JC$52,JC$51)</f>
        <v/>
      </c>
      <c r="JD1" s="104" t="str">
        <f>IF('Setup ⚙️'!$C$32="Monday",JD$52,JD$51)</f>
        <v/>
      </c>
      <c r="JE1" s="104" t="str">
        <f>IF('Setup ⚙️'!$C$32="Monday",JE$52,JE$51)</f>
        <v/>
      </c>
      <c r="JF1" s="104" t="str">
        <f>IF('Setup ⚙️'!$C$32="Monday",JF$52,JF$51)</f>
        <v/>
      </c>
      <c r="JG1" s="104" t="str">
        <f>IF('Setup ⚙️'!$C$32="Monday",JG$52,JG$51)</f>
        <v/>
      </c>
      <c r="JH1" s="104" t="str">
        <f>IF('Setup ⚙️'!$C$32="Monday",JH$52,JH$51)</f>
        <v/>
      </c>
      <c r="JI1" s="104" t="str">
        <f>IF('Setup ⚙️'!$C$32="Monday",JI$52,JI$51)</f>
        <v/>
      </c>
      <c r="JJ1" s="104" t="str">
        <f>IF('Setup ⚙️'!$C$32="Monday",JJ$52,JJ$51)</f>
        <v/>
      </c>
      <c r="JK1" s="104" t="str">
        <f>IF('Setup ⚙️'!$C$32="Monday",JK$52,JK$51)</f>
        <v/>
      </c>
      <c r="JL1" s="104" t="str">
        <f>IF('Setup ⚙️'!$C$32="Monday",JL$52,JL$51)</f>
        <v/>
      </c>
      <c r="JM1" s="104" t="str">
        <f>IF('Setup ⚙️'!$C$32="Monday",JM$52,JM$51)</f>
        <v/>
      </c>
      <c r="JN1" s="104" t="str">
        <f>IF('Setup ⚙️'!$C$32="Monday",JN$52,JN$51)</f>
        <v/>
      </c>
      <c r="JO1" s="104" t="str">
        <f>IF('Setup ⚙️'!$C$32="Monday",JO$52,JO$51)</f>
        <v/>
      </c>
      <c r="JP1" s="104" t="str">
        <f>IF('Setup ⚙️'!$C$32="Monday",JP$52,JP$51)</f>
        <v/>
      </c>
      <c r="JQ1" s="104" t="str">
        <f>IF('Setup ⚙️'!$C$32="Monday",JQ$52,JQ$51)</f>
        <v/>
      </c>
      <c r="JR1" s="104" t="str">
        <f>IF('Setup ⚙️'!$C$32="Monday",JR$52,JR$51)</f>
        <v/>
      </c>
      <c r="JS1" s="104" t="str">
        <f>IF('Setup ⚙️'!$C$32="Monday",JS$52,JS$51)</f>
        <v/>
      </c>
      <c r="JT1" s="104" t="str">
        <f>IF('Setup ⚙️'!$C$32="Monday",JT$52,JT$51)</f>
        <v/>
      </c>
      <c r="JU1" s="104" t="str">
        <f>IF('Setup ⚙️'!$C$32="Monday",JU$52,JU$51)</f>
        <v/>
      </c>
      <c r="JV1" s="104" t="str">
        <f>IF('Setup ⚙️'!$C$32="Monday",JV$52,JV$51)</f>
        <v/>
      </c>
      <c r="JW1" s="104" t="str">
        <f>IF('Setup ⚙️'!$C$32="Monday",JW$52,JW$51)</f>
        <v/>
      </c>
      <c r="JX1" s="104" t="str">
        <f>IF('Setup ⚙️'!$C$32="Monday",JX$52,JX$51)</f>
        <v/>
      </c>
      <c r="JY1" s="104" t="str">
        <f>IF('Setup ⚙️'!$C$32="Monday",JY$52,JY$51)</f>
        <v/>
      </c>
      <c r="JZ1" s="104" t="str">
        <f>IF('Setup ⚙️'!$C$32="Monday",JZ$52,JZ$51)</f>
        <v/>
      </c>
      <c r="KA1" s="104" t="str">
        <f>IF('Setup ⚙️'!$C$32="Monday",KA$52,KA$51)</f>
        <v/>
      </c>
      <c r="KB1" s="104" t="str">
        <f>IF('Setup ⚙️'!$C$32="Monday",KB$52,KB$51)</f>
        <v/>
      </c>
      <c r="KC1" s="104" t="str">
        <f>IF('Setup ⚙️'!$C$32="Monday",KC$52,KC$51)</f>
        <v/>
      </c>
      <c r="KD1" s="104" t="str">
        <f>IF('Setup ⚙️'!$C$32="Monday",KD$52,KD$51)</f>
        <v/>
      </c>
      <c r="KE1" s="104" t="str">
        <f>IF('Setup ⚙️'!$C$32="Monday",KE$52,KE$51)</f>
        <v/>
      </c>
      <c r="KF1" s="104" t="str">
        <f>IF('Setup ⚙️'!$C$32="Monday",KF$52,KF$51)</f>
        <v/>
      </c>
      <c r="KG1" s="104" t="str">
        <f>IF('Setup ⚙️'!$C$32="Monday",KG$52,KG$51)</f>
        <v/>
      </c>
      <c r="KH1" s="104" t="str">
        <f>IF('Setup ⚙️'!$C$32="Monday",KH$52,KH$51)</f>
        <v/>
      </c>
      <c r="KI1" s="104" t="str">
        <f>IF('Setup ⚙️'!$C$32="Monday",KI$52,KI$51)</f>
        <v/>
      </c>
      <c r="KJ1" s="104" t="str">
        <f>IF('Setup ⚙️'!$C$32="Monday",KJ$52,KJ$51)</f>
        <v/>
      </c>
      <c r="KK1" s="104" t="str">
        <f>IF('Setup ⚙️'!$C$32="Monday",KK$52,KK$51)</f>
        <v/>
      </c>
      <c r="KL1" s="104" t="str">
        <f>IF('Setup ⚙️'!$C$32="Monday",KL$52,KL$51)</f>
        <v/>
      </c>
      <c r="KM1" s="104" t="str">
        <f>IF('Setup ⚙️'!$C$32="Monday",KM$52,KM$51)</f>
        <v/>
      </c>
      <c r="KN1" s="104" t="str">
        <f>IF('Setup ⚙️'!$C$32="Monday",KN$52,KN$51)</f>
        <v/>
      </c>
      <c r="KO1" s="104" t="str">
        <f>IF('Setup ⚙️'!$C$32="Monday",KO$52,KO$51)</f>
        <v/>
      </c>
      <c r="KP1" s="104" t="str">
        <f>IF('Setup ⚙️'!$C$32="Monday",KP$52,KP$51)</f>
        <v/>
      </c>
      <c r="KQ1" s="104" t="str">
        <f>IF('Setup ⚙️'!$C$32="Monday",KQ$52,KQ$51)</f>
        <v/>
      </c>
      <c r="KR1" s="104" t="str">
        <f>IF('Setup ⚙️'!$C$32="Monday",KR$52,KR$51)</f>
        <v/>
      </c>
      <c r="KS1" s="104" t="str">
        <f>IF('Setup ⚙️'!$C$32="Monday",KS$52,KS$51)</f>
        <v/>
      </c>
      <c r="KT1" s="104" t="str">
        <f>IF('Setup ⚙️'!$C$32="Monday",KT$52,KT$51)</f>
        <v/>
      </c>
      <c r="KU1" s="104" t="str">
        <f>IF('Setup ⚙️'!$C$32="Monday",KU$52,KU$51)</f>
        <v/>
      </c>
      <c r="KV1" s="104" t="str">
        <f>IF('Setup ⚙️'!$C$32="Monday",KV$52,KV$51)</f>
        <v/>
      </c>
      <c r="KW1" s="104" t="str">
        <f>IF('Setup ⚙️'!$C$32="Monday",KW$52,KW$51)</f>
        <v/>
      </c>
      <c r="KX1" s="104" t="str">
        <f>IF('Setup ⚙️'!$C$32="Monday",KX$52,KX$51)</f>
        <v/>
      </c>
      <c r="KY1" s="104" t="str">
        <f>IF('Setup ⚙️'!$C$32="Monday",KY$52,KY$51)</f>
        <v/>
      </c>
      <c r="KZ1" s="104" t="str">
        <f>IF('Setup ⚙️'!$C$32="Monday",KZ$52,KZ$51)</f>
        <v/>
      </c>
      <c r="LA1" s="104" t="str">
        <f>IF('Setup ⚙️'!$C$32="Monday",LA$52,LA$51)</f>
        <v/>
      </c>
      <c r="LB1" s="104" t="str">
        <f>IF('Setup ⚙️'!$C$32="Monday",LB$52,LB$51)</f>
        <v/>
      </c>
      <c r="LC1" s="104" t="str">
        <f>IF('Setup ⚙️'!$C$32="Monday",LC$52,LC$51)</f>
        <v/>
      </c>
      <c r="LD1" s="104" t="str">
        <f>IF('Setup ⚙️'!$C$32="Monday",LD$52,LD$51)</f>
        <v/>
      </c>
      <c r="LE1" s="104" t="str">
        <f>IF('Setup ⚙️'!$C$32="Monday",LE$52,LE$51)</f>
        <v/>
      </c>
      <c r="LF1" s="104" t="str">
        <f>IF('Setup ⚙️'!$C$32="Monday",LF$52,LF$51)</f>
        <v/>
      </c>
      <c r="LG1" s="104" t="str">
        <f>IF('Setup ⚙️'!$C$32="Monday",LG$52,LG$51)</f>
        <v/>
      </c>
      <c r="LH1" s="104" t="str">
        <f>IF('Setup ⚙️'!$C$32="Monday",LH$52,LH$51)</f>
        <v/>
      </c>
      <c r="LI1" s="104" t="str">
        <f>IF('Setup ⚙️'!$C$32="Monday",LI$52,LI$51)</f>
        <v/>
      </c>
      <c r="LJ1" s="104" t="str">
        <f>IF('Setup ⚙️'!$C$32="Monday",LJ$52,LJ$51)</f>
        <v/>
      </c>
      <c r="LK1" s="104" t="str">
        <f>IF('Setup ⚙️'!$C$32="Monday",LK$52,LK$51)</f>
        <v/>
      </c>
      <c r="LL1" s="104" t="str">
        <f>IF('Setup ⚙️'!$C$32="Monday",LL$52,LL$51)</f>
        <v/>
      </c>
      <c r="LM1" s="104" t="str">
        <f>IF('Setup ⚙️'!$C$32="Monday",LM$52,LM$51)</f>
        <v/>
      </c>
      <c r="LN1" s="104" t="str">
        <f>IF('Setup ⚙️'!$C$32="Monday",LN$52,LN$51)</f>
        <v/>
      </c>
      <c r="LO1" s="104" t="str">
        <f>IF('Setup ⚙️'!$C$32="Monday",LO$52,LO$51)</f>
        <v/>
      </c>
      <c r="LP1" s="104" t="str">
        <f>IF('Setup ⚙️'!$C$32="Monday",LP$52,LP$51)</f>
        <v/>
      </c>
      <c r="LQ1" s="104" t="str">
        <f>IF('Setup ⚙️'!$C$32="Monday",LQ$52,LQ$51)</f>
        <v/>
      </c>
      <c r="LR1" s="104" t="str">
        <f>IF('Setup ⚙️'!$C$32="Monday",LR$52,LR$51)</f>
        <v/>
      </c>
      <c r="LS1" s="104" t="str">
        <f>IF('Setup ⚙️'!$C$32="Monday",LS$52,LS$51)</f>
        <v/>
      </c>
      <c r="LT1" s="104" t="str">
        <f>IF('Setup ⚙️'!$C$32="Monday",LT$52,LT$51)</f>
        <v/>
      </c>
      <c r="LU1" s="104" t="str">
        <f>IF('Setup ⚙️'!$C$32="Monday",LU$52,LU$51)</f>
        <v/>
      </c>
      <c r="LV1" s="104" t="str">
        <f>IF('Setup ⚙️'!$C$32="Monday",LV$52,LV$51)</f>
        <v/>
      </c>
      <c r="LW1" s="104" t="str">
        <f>IF('Setup ⚙️'!$C$32="Monday",LW$52,LW$51)</f>
        <v/>
      </c>
      <c r="LX1" s="104" t="str">
        <f>IF('Setup ⚙️'!$C$32="Monday",LX$52,LX$51)</f>
        <v/>
      </c>
      <c r="LY1" s="104" t="str">
        <f>IF('Setup ⚙️'!$C$32="Monday",LY$52,LY$51)</f>
        <v/>
      </c>
      <c r="LZ1" s="104" t="str">
        <f>IF('Setup ⚙️'!$C$32="Monday",LZ$52,LZ$51)</f>
        <v/>
      </c>
      <c r="MA1" s="104" t="str">
        <f>IF('Setup ⚙️'!$C$32="Monday",MA$52,MA$51)</f>
        <v/>
      </c>
      <c r="MB1" s="104" t="str">
        <f>IF('Setup ⚙️'!$C$32="Monday",MB$52,MB$51)</f>
        <v/>
      </c>
      <c r="MC1" s="104" t="str">
        <f>IF('Setup ⚙️'!$C$32="Monday",MC$52,MC$51)</f>
        <v/>
      </c>
      <c r="MD1" s="104" t="str">
        <f>IF('Setup ⚙️'!$C$32="Monday",MD$52,MD$51)</f>
        <v/>
      </c>
      <c r="ME1" s="104" t="str">
        <f>IF('Setup ⚙️'!$C$32="Monday",ME$52,ME$51)</f>
        <v/>
      </c>
      <c r="MF1" s="104" t="str">
        <f>IF('Setup ⚙️'!$C$32="Monday",MF$52,MF$51)</f>
        <v/>
      </c>
      <c r="MG1" s="104" t="str">
        <f>IF('Setup ⚙️'!$C$32="Monday",MG$52,MG$51)</f>
        <v/>
      </c>
      <c r="MH1" s="104" t="str">
        <f>IF('Setup ⚙️'!$C$32="Monday",MH$52,MH$51)</f>
        <v/>
      </c>
      <c r="MI1" s="104" t="str">
        <f>IF('Setup ⚙️'!$C$32="Monday",MI$52,MI$51)</f>
        <v/>
      </c>
      <c r="MJ1" s="104" t="str">
        <f>IF('Setup ⚙️'!$C$32="Monday",MJ$52,MJ$51)</f>
        <v/>
      </c>
      <c r="MK1" s="104" t="str">
        <f>IF('Setup ⚙️'!$C$32="Monday",MK$52,MK$51)</f>
        <v/>
      </c>
      <c r="ML1" s="104" t="str">
        <f>IF('Setup ⚙️'!$C$32="Monday",ML$52,ML$51)</f>
        <v/>
      </c>
      <c r="MM1" s="104" t="str">
        <f>IF('Setup ⚙️'!$C$32="Monday",MM$52,MM$51)</f>
        <v/>
      </c>
      <c r="MN1" s="104" t="str">
        <f>IF('Setup ⚙️'!$C$32="Monday",MN$52,MN$51)</f>
        <v/>
      </c>
      <c r="MO1" s="104" t="str">
        <f>IF('Setup ⚙️'!$C$32="Monday",MO$52,MO$51)</f>
        <v/>
      </c>
      <c r="MP1" s="104" t="str">
        <f>IF('Setup ⚙️'!$C$32="Monday",MP$52,MP$51)</f>
        <v/>
      </c>
      <c r="MQ1" s="104" t="str">
        <f>IF('Setup ⚙️'!$C$32="Monday",MQ$52,MQ$51)</f>
        <v/>
      </c>
      <c r="MR1" s="104" t="str">
        <f>IF('Setup ⚙️'!$C$32="Monday",MR$52,MR$51)</f>
        <v/>
      </c>
      <c r="MS1" s="104" t="str">
        <f>IF('Setup ⚙️'!$C$32="Monday",MS$52,MS$51)</f>
        <v/>
      </c>
      <c r="MT1" s="104" t="str">
        <f>IF('Setup ⚙️'!$C$32="Monday",MT$52,MT$51)</f>
        <v/>
      </c>
      <c r="MU1" s="104" t="str">
        <f>IF('Setup ⚙️'!$C$32="Monday",MU$52,MU$51)</f>
        <v/>
      </c>
      <c r="MV1" s="104" t="str">
        <f>IF('Setup ⚙️'!$C$32="Monday",MV$52,MV$51)</f>
        <v/>
      </c>
      <c r="MW1" s="104" t="str">
        <f>IF('Setup ⚙️'!$C$32="Monday",MW$52,MW$51)</f>
        <v/>
      </c>
      <c r="MX1" s="104" t="str">
        <f>IF('Setup ⚙️'!$C$32="Monday",MX$52,MX$51)</f>
        <v/>
      </c>
      <c r="MY1" s="104" t="str">
        <f>IF('Setup ⚙️'!$C$32="Monday",MY$52,MY$51)</f>
        <v/>
      </c>
      <c r="MZ1" s="104" t="str">
        <f>IF('Setup ⚙️'!$C$32="Monday",MZ$52,MZ$51)</f>
        <v/>
      </c>
      <c r="NA1" s="104" t="str">
        <f>IF('Setup ⚙️'!$C$32="Monday",NA$52,NA$51)</f>
        <v/>
      </c>
      <c r="NB1" s="104" t="str">
        <f>IF('Setup ⚙️'!$C$32="Monday",NB$52,NB$51)</f>
        <v/>
      </c>
      <c r="NC1" s="104" t="str">
        <f>IF('Setup ⚙️'!$C$32="Monday",NC$52,NC$51)</f>
        <v/>
      </c>
      <c r="ND1" s="104" t="str">
        <f>IF('Setup ⚙️'!$C$32="Monday",ND$52,ND$51)</f>
        <v/>
      </c>
      <c r="NE1" s="104" t="str">
        <f>IF('Setup ⚙️'!$C$32="Monday",NE$52,NE$51)</f>
        <v/>
      </c>
      <c r="NF1" s="104" t="str">
        <f>IF('Setup ⚙️'!$C$32="Monday",NF$52,NF$51)</f>
        <v/>
      </c>
      <c r="NG1" s="104" t="str">
        <f>IF('Setup ⚙️'!$C$32="Monday",NG$52,NG$51)</f>
        <v/>
      </c>
      <c r="NH1" s="104" t="str">
        <f>IF('Setup ⚙️'!$C$32="Monday",NH$52,NH$51)</f>
        <v/>
      </c>
      <c r="NI1" s="104" t="str">
        <f>IF('Setup ⚙️'!$C$32="Monday",NI$52,NI$51)</f>
        <v/>
      </c>
      <c r="NJ1" s="104" t="str">
        <f>IF('Setup ⚙️'!$C$32="Monday",NJ$52,NJ$51)</f>
        <v/>
      </c>
      <c r="NK1" s="104" t="str">
        <f>IF('Setup ⚙️'!$C$32="Monday",NK$52,NK$51)</f>
        <v/>
      </c>
      <c r="NL1" s="104" t="str">
        <f>IF('Setup ⚙️'!$C$32="Monday",NL$52,NL$51)</f>
        <v/>
      </c>
      <c r="NM1" s="104" t="str">
        <f>IF('Setup ⚙️'!$C$32="Monday",NM$52,NM$51)</f>
        <v/>
      </c>
      <c r="NN1" s="104" t="str">
        <f>IF('Setup ⚙️'!$C$32="Monday",NN$52,NN$51)</f>
        <v/>
      </c>
      <c r="NO1" s="104" t="str">
        <f>IF('Setup ⚙️'!$C$32="Monday",NO$52,NO$51)</f>
        <v/>
      </c>
      <c r="NP1" s="104" t="str">
        <f>IF('Setup ⚙️'!$C$32="Monday",NP$52,NP$51)</f>
        <v/>
      </c>
      <c r="NQ1" s="104" t="str">
        <f>IF('Setup ⚙️'!$C$32="Monday",NQ$52,NQ$51)</f>
        <v/>
      </c>
      <c r="NR1" s="104" t="str">
        <f>IF('Setup ⚙️'!$C$32="Monday",NR$52,NR$51)</f>
        <v/>
      </c>
      <c r="NS1" s="104" t="str">
        <f>IF('Setup ⚙️'!$C$32="Monday",NS$52,NS$51)</f>
        <v/>
      </c>
      <c r="NT1" s="104" t="str">
        <f>IF('Setup ⚙️'!$C$32="Monday",NT$52,NT$51)</f>
        <v/>
      </c>
      <c r="NU1" s="104" t="str">
        <f>IF('Setup ⚙️'!$C$32="Monday",NU$52,NU$51)</f>
        <v/>
      </c>
      <c r="NV1" s="104" t="str">
        <f>IF('Setup ⚙️'!$C$32="Monday",NV$52,NV$51)</f>
        <v/>
      </c>
      <c r="NW1" s="104" t="str">
        <f>IF('Setup ⚙️'!$C$32="Monday",NW$52,NW$51)</f>
        <v/>
      </c>
      <c r="NX1" s="104" t="str">
        <f>IF('Setup ⚙️'!$C$32="Monday",NX$52,NX$51)</f>
        <v/>
      </c>
      <c r="NY1" s="104" t="str">
        <f>IF('Setup ⚙️'!$C$32="Monday",NY$52,NY$51)</f>
        <v/>
      </c>
      <c r="NZ1" s="104" t="str">
        <f>IF('Setup ⚙️'!$C$32="Monday",NZ$52,NZ$51)</f>
        <v/>
      </c>
      <c r="OA1" s="104" t="str">
        <f>IF('Setup ⚙️'!$C$32="Monday",OA$52,OA$51)</f>
        <v/>
      </c>
      <c r="OB1" s="104" t="str">
        <f>IF('Setup ⚙️'!$C$32="Monday",OB$52,OB$51)</f>
        <v/>
      </c>
      <c r="OC1" s="104" t="str">
        <f>IF('Setup ⚙️'!$C$32="Monday",OC$52,OC$51)</f>
        <v/>
      </c>
      <c r="OD1" s="104" t="str">
        <f>IF('Setup ⚙️'!$C$32="Monday",OD$52,OD$51)</f>
        <v/>
      </c>
      <c r="OE1" s="104" t="str">
        <f>IF('Setup ⚙️'!$C$32="Monday",OE$52,OE$51)</f>
        <v/>
      </c>
      <c r="OF1" s="104" t="str">
        <f>IF('Setup ⚙️'!$C$32="Monday",OF$52,OF$51)</f>
        <v/>
      </c>
      <c r="OG1" s="104" t="str">
        <f>IF('Setup ⚙️'!$C$32="Monday",OG$52,OG$51)</f>
        <v/>
      </c>
      <c r="OH1" s="104" t="str">
        <f>IF('Setup ⚙️'!$C$32="Monday",OH$52,OH$51)</f>
        <v/>
      </c>
      <c r="OI1" s="104" t="str">
        <f>IF('Setup ⚙️'!$C$32="Monday",OI$52,OI$51)</f>
        <v/>
      </c>
      <c r="OJ1" s="104" t="str">
        <f>IF('Setup ⚙️'!$C$32="Monday",OJ$52,OJ$51)</f>
        <v/>
      </c>
      <c r="OK1" s="104" t="str">
        <f>IF('Setup ⚙️'!$C$32="Monday",OK$52,OK$51)</f>
        <v/>
      </c>
      <c r="OL1" s="104" t="str">
        <f>IF('Setup ⚙️'!$C$32="Monday",OL$52,OL$51)</f>
        <v/>
      </c>
      <c r="OM1" s="104" t="str">
        <f>IF('Setup ⚙️'!$C$32="Monday",OM$52,OM$51)</f>
        <v/>
      </c>
      <c r="ON1" s="104" t="str">
        <f>IF('Setup ⚙️'!$C$32="Monday",ON$52,ON$51)</f>
        <v/>
      </c>
      <c r="OO1" s="104" t="str">
        <f>IF('Setup ⚙️'!$C$32="Monday",OO$52,OO$51)</f>
        <v/>
      </c>
      <c r="OP1" s="104" t="str">
        <f>IF('Setup ⚙️'!$C$32="Monday",OP$52,OP$51)</f>
        <v/>
      </c>
      <c r="OQ1" s="104" t="str">
        <f>IF('Setup ⚙️'!$C$32="Monday",OQ$52,OQ$51)</f>
        <v/>
      </c>
      <c r="OR1" s="104" t="str">
        <f>IF('Setup ⚙️'!$C$32="Monday",OR$52,OR$51)</f>
        <v/>
      </c>
      <c r="OS1" s="104" t="str">
        <f>IF('Setup ⚙️'!$C$32="Monday",OS$52,OS$51)</f>
        <v/>
      </c>
      <c r="OT1" s="104" t="str">
        <f>IF('Setup ⚙️'!$C$32="Monday",OT$52,OT$51)</f>
        <v/>
      </c>
      <c r="OU1" s="104" t="str">
        <f>IF('Setup ⚙️'!$C$32="Monday",OU$52,OU$51)</f>
        <v/>
      </c>
      <c r="OV1" s="104" t="str">
        <f>IF('Setup ⚙️'!$C$32="Monday",OV$52,OV$51)</f>
        <v/>
      </c>
      <c r="OW1" s="104" t="str">
        <f>IF('Setup ⚙️'!$C$32="Monday",OW$52,OW$51)</f>
        <v/>
      </c>
      <c r="OX1" s="104" t="str">
        <f>IF('Setup ⚙️'!$C$32="Monday",OX$52,OX$51)</f>
        <v/>
      </c>
      <c r="OY1" s="104" t="str">
        <f>IF('Setup ⚙️'!$C$32="Monday",OY$52,OY$51)</f>
        <v/>
      </c>
      <c r="OZ1" s="104" t="str">
        <f>IF('Setup ⚙️'!$C$32="Monday",OZ$52,OZ$51)</f>
        <v/>
      </c>
      <c r="PA1" s="104" t="str">
        <f>IF('Setup ⚙️'!$C$32="Monday",PA$52,PA$51)</f>
        <v/>
      </c>
      <c r="PB1" s="104" t="str">
        <f>IF('Setup ⚙️'!$C$32="Monday",PB$52,PB$51)</f>
        <v/>
      </c>
      <c r="PC1" s="104" t="str">
        <f>IF('Setup ⚙️'!$C$32="Monday",PC$52,PC$51)</f>
        <v/>
      </c>
      <c r="PD1" s="104" t="str">
        <f>IF('Setup ⚙️'!$C$32="Monday",PD$52,PD$51)</f>
        <v/>
      </c>
      <c r="PE1" s="104" t="str">
        <f>IF('Setup ⚙️'!$C$32="Monday",PE$52,PE$51)</f>
        <v/>
      </c>
      <c r="PF1" s="104" t="str">
        <f>IF('Setup ⚙️'!$C$32="Monday",PF$52,PF$51)</f>
        <v/>
      </c>
      <c r="PG1" s="104" t="str">
        <f>IF('Setup ⚙️'!$C$32="Monday",PG$52,PG$51)</f>
        <v/>
      </c>
      <c r="PH1" s="104" t="str">
        <f>IF('Setup ⚙️'!$C$32="Monday",PH$52,PH$51)</f>
        <v/>
      </c>
      <c r="PI1" s="104" t="str">
        <f>IF('Setup ⚙️'!$C$32="Monday",PI$52,PI$51)</f>
        <v/>
      </c>
      <c r="PJ1" s="104" t="str">
        <f>IF('Setup ⚙️'!$C$32="Monday",PJ$52,PJ$51)</f>
        <v/>
      </c>
      <c r="PK1" s="104" t="str">
        <f>IF('Setup ⚙️'!$C$32="Monday",PK$52,PK$51)</f>
        <v/>
      </c>
      <c r="PL1" s="104" t="str">
        <f>IF('Setup ⚙️'!$C$32="Monday",PL$52,PL$51)</f>
        <v/>
      </c>
      <c r="PM1" s="104" t="str">
        <f>IF('Setup ⚙️'!$C$32="Monday",PM$52,PM$51)</f>
        <v/>
      </c>
      <c r="PN1" s="104" t="str">
        <f>IF('Setup ⚙️'!$C$32="Monday",PN$52,PN$51)</f>
        <v/>
      </c>
      <c r="PO1" s="104" t="str">
        <f>IF('Setup ⚙️'!$C$32="Monday",PO$52,PO$51)</f>
        <v/>
      </c>
      <c r="PP1" s="104" t="str">
        <f>IF('Setup ⚙️'!$C$32="Monday",PP$52,PP$51)</f>
        <v/>
      </c>
      <c r="PQ1" s="104" t="str">
        <f>IF('Setup ⚙️'!$C$32="Monday",PQ$52,PQ$51)</f>
        <v/>
      </c>
      <c r="PR1" s="104" t="str">
        <f>IF('Setup ⚙️'!$C$32="Monday",PR$52,PR$51)</f>
        <v/>
      </c>
      <c r="PS1" s="104" t="str">
        <f>IF('Setup ⚙️'!$C$32="Monday",PS$52,PS$51)</f>
        <v/>
      </c>
      <c r="PT1" s="104" t="str">
        <f>IF('Setup ⚙️'!$C$32="Monday",PT$52,PT$51)</f>
        <v/>
      </c>
      <c r="PU1" s="104" t="str">
        <f>IF('Setup ⚙️'!$C$32="Monday",PU$52,PU$51)</f>
        <v/>
      </c>
      <c r="PV1" s="104" t="str">
        <f>IF('Setup ⚙️'!$C$32="Monday",PV$52,PV$51)</f>
        <v/>
      </c>
      <c r="PW1" s="104" t="str">
        <f>IF('Setup ⚙️'!$C$32="Monday",PW$52,PW$51)</f>
        <v/>
      </c>
      <c r="PX1" s="104" t="str">
        <f>IF('Setup ⚙️'!$C$32="Monday",PX$52,PX$51)</f>
        <v/>
      </c>
      <c r="PY1" s="104" t="str">
        <f>IF('Setup ⚙️'!$C$32="Monday",PY$52,PY$51)</f>
        <v/>
      </c>
      <c r="PZ1" s="104" t="str">
        <f>IF('Setup ⚙️'!$C$32="Monday",PZ$52,PZ$51)</f>
        <v/>
      </c>
      <c r="QA1" s="104" t="str">
        <f>IF('Setup ⚙️'!$C$32="Monday",QA$52,QA$51)</f>
        <v/>
      </c>
      <c r="QB1" s="104" t="str">
        <f>IF('Setup ⚙️'!$C$32="Monday",QB$52,QB$51)</f>
        <v/>
      </c>
      <c r="QC1" s="104" t="str">
        <f>IF('Setup ⚙️'!$C$32="Monday",QC$52,QC$51)</f>
        <v/>
      </c>
      <c r="QD1" s="104" t="str">
        <f>IF('Setup ⚙️'!$C$32="Monday",QD$52,QD$51)</f>
        <v/>
      </c>
      <c r="QE1" s="104" t="str">
        <f>IF('Setup ⚙️'!$C$32="Monday",QE$52,QE$51)</f>
        <v/>
      </c>
      <c r="QF1" s="104" t="str">
        <f>IF('Setup ⚙️'!$C$32="Monday",QF$52,QF$51)</f>
        <v/>
      </c>
      <c r="QG1" s="104" t="str">
        <f>IF('Setup ⚙️'!$C$32="Monday",QG$52,QG$51)</f>
        <v/>
      </c>
      <c r="QH1" s="104" t="str">
        <f>IF('Setup ⚙️'!$C$32="Monday",QH$52,QH$51)</f>
        <v/>
      </c>
      <c r="QI1" s="104" t="str">
        <f>IF('Setup ⚙️'!$C$32="Monday",QI$52,QI$51)</f>
        <v/>
      </c>
      <c r="QJ1" s="104" t="str">
        <f>IF('Setup ⚙️'!$C$32="Monday",QJ$52,QJ$51)</f>
        <v/>
      </c>
      <c r="QK1" s="104" t="str">
        <f>IF('Setup ⚙️'!$C$32="Monday",QK$52,QK$51)</f>
        <v/>
      </c>
      <c r="QL1" s="104" t="str">
        <f>IF('Setup ⚙️'!$C$32="Monday",QL$52,QL$51)</f>
        <v/>
      </c>
      <c r="QM1" s="104" t="str">
        <f>IF('Setup ⚙️'!$C$32="Monday",QM$52,QM$51)</f>
        <v/>
      </c>
      <c r="QN1" s="104" t="str">
        <f>IF('Setup ⚙️'!$C$32="Monday",QN$52,QN$51)</f>
        <v/>
      </c>
      <c r="QO1" s="104" t="str">
        <f>IF('Setup ⚙️'!$C$32="Monday",QO$52,QO$51)</f>
        <v/>
      </c>
      <c r="QP1" s="104" t="str">
        <f>IF('Setup ⚙️'!$C$32="Monday",QP$52,QP$51)</f>
        <v/>
      </c>
      <c r="QQ1" s="104" t="str">
        <f>IF('Setup ⚙️'!$C$32="Monday",QQ$52,QQ$51)</f>
        <v/>
      </c>
      <c r="QR1" s="104" t="str">
        <f>IF('Setup ⚙️'!$C$32="Monday",QR$52,QR$51)</f>
        <v/>
      </c>
      <c r="QS1" s="104" t="str">
        <f>IF('Setup ⚙️'!$C$32="Monday",QS$52,QS$51)</f>
        <v/>
      </c>
      <c r="QT1" s="104" t="str">
        <f>IF('Setup ⚙️'!$C$32="Monday",QT$52,QT$51)</f>
        <v/>
      </c>
      <c r="QU1" s="104" t="str">
        <f>IF('Setup ⚙️'!$C$32="Monday",QU$52,QU$51)</f>
        <v/>
      </c>
      <c r="QV1" s="104" t="str">
        <f>IF('Setup ⚙️'!$C$32="Monday",QV$52,QV$51)</f>
        <v/>
      </c>
      <c r="QW1" s="104" t="str">
        <f>IF('Setup ⚙️'!$C$32="Monday",QW$52,QW$51)</f>
        <v/>
      </c>
      <c r="QX1" s="104" t="str">
        <f>IF('Setup ⚙️'!$C$32="Monday",QX$52,QX$51)</f>
        <v/>
      </c>
      <c r="QY1" s="104" t="str">
        <f>IF('Setup ⚙️'!$C$32="Monday",QY$52,QY$51)</f>
        <v/>
      </c>
      <c r="QZ1" s="104" t="str">
        <f>IF('Setup ⚙️'!$C$32="Monday",QZ$52,QZ$51)</f>
        <v/>
      </c>
      <c r="RA1" s="104" t="str">
        <f>IF('Setup ⚙️'!$C$32="Monday",RA$52,RA$51)</f>
        <v/>
      </c>
      <c r="RB1" s="104" t="str">
        <f>IF('Setup ⚙️'!$C$32="Monday",RB$52,RB$51)</f>
        <v/>
      </c>
      <c r="RC1" s="104" t="str">
        <f>IF('Setup ⚙️'!$C$32="Monday",RC$52,RC$51)</f>
        <v/>
      </c>
      <c r="RD1" s="104" t="str">
        <f>IF('Setup ⚙️'!$C$32="Monday",RD$52,RD$51)</f>
        <v/>
      </c>
      <c r="RE1" s="104" t="str">
        <f>IF('Setup ⚙️'!$C$32="Monday",RE$52,RE$51)</f>
        <v/>
      </c>
      <c r="RF1" s="104" t="str">
        <f>IF('Setup ⚙️'!$C$32="Monday",RF$52,RF$51)</f>
        <v/>
      </c>
      <c r="RG1" s="104" t="str">
        <f>IF('Setup ⚙️'!$C$32="Monday",RG$52,RG$51)</f>
        <v/>
      </c>
      <c r="RH1" s="104" t="str">
        <f>IF('Setup ⚙️'!$C$32="Monday",RH$52,RH$51)</f>
        <v/>
      </c>
      <c r="RI1" s="104" t="str">
        <f>IF('Setup ⚙️'!$C$32="Monday",RI$52,RI$51)</f>
        <v/>
      </c>
      <c r="RJ1" s="104" t="str">
        <f>IF('Setup ⚙️'!$C$32="Monday",RJ$52,RJ$51)</f>
        <v/>
      </c>
      <c r="RK1" s="104" t="str">
        <f>IF('Setup ⚙️'!$C$32="Monday",RK$52,RK$51)</f>
        <v/>
      </c>
      <c r="RL1" s="104" t="str">
        <f>IF('Setup ⚙️'!$C$32="Monday",RL$52,RL$51)</f>
        <v/>
      </c>
      <c r="RM1" s="104" t="str">
        <f>IF('Setup ⚙️'!$C$32="Monday",RM$52,RM$51)</f>
        <v/>
      </c>
      <c r="RN1" s="104" t="str">
        <f>IF('Setup ⚙️'!$C$32="Monday",RN$52,RN$51)</f>
        <v/>
      </c>
      <c r="RO1" s="104" t="str">
        <f>IF('Setup ⚙️'!$C$32="Monday",RO$52,RO$51)</f>
        <v/>
      </c>
      <c r="RP1" s="104" t="str">
        <f>IF('Setup ⚙️'!$C$32="Monday",RP$52,RP$51)</f>
        <v/>
      </c>
      <c r="RQ1" s="104" t="str">
        <f>IF('Setup ⚙️'!$C$32="Monday",RQ$52,RQ$51)</f>
        <v/>
      </c>
      <c r="RR1" s="104" t="str">
        <f>IF('Setup ⚙️'!$C$32="Monday",RR$52,RR$51)</f>
        <v/>
      </c>
      <c r="RS1" s="104" t="str">
        <f>IF('Setup ⚙️'!$C$32="Monday",RS$52,RS$51)</f>
        <v/>
      </c>
      <c r="RT1" s="104" t="str">
        <f>IF('Setup ⚙️'!$C$32="Monday",RT$52,RT$51)</f>
        <v/>
      </c>
      <c r="RU1" s="104" t="str">
        <f>IF('Setup ⚙️'!$C$32="Monday",RU$52,RU$51)</f>
        <v/>
      </c>
      <c r="RV1" s="104" t="str">
        <f>IF('Setup ⚙️'!$C$32="Monday",RV$52,RV$51)</f>
        <v/>
      </c>
      <c r="RW1" s="104" t="str">
        <f>IF('Setup ⚙️'!$C$32="Monday",RW$52,RW$51)</f>
        <v/>
      </c>
      <c r="RX1" s="104" t="str">
        <f>IF('Setup ⚙️'!$C$32="Monday",RX$52,RX$51)</f>
        <v/>
      </c>
      <c r="RY1" s="104" t="str">
        <f>IF('Setup ⚙️'!$C$32="Monday",RY$52,RY$51)</f>
        <v/>
      </c>
      <c r="RZ1" s="104" t="str">
        <f>IF('Setup ⚙️'!$C$32="Monday",RZ$52,RZ$51)</f>
        <v/>
      </c>
      <c r="SA1" s="104" t="str">
        <f>IF('Setup ⚙️'!$C$32="Monday",SA$52,SA$51)</f>
        <v/>
      </c>
      <c r="SB1" s="104" t="str">
        <f>IF('Setup ⚙️'!$C$32="Monday",SB$52,SB$51)</f>
        <v/>
      </c>
      <c r="SC1" s="104" t="str">
        <f>IF('Setup ⚙️'!$C$32="Monday",SC$52,SC$51)</f>
        <v/>
      </c>
    </row>
    <row r="2" spans="1:497" ht="15.75" customHeight="1" x14ac:dyDescent="0.15">
      <c r="A2" s="1"/>
      <c r="B2" s="109" t="s">
        <v>84</v>
      </c>
      <c r="C2" s="72"/>
      <c r="E2" s="71"/>
      <c r="G2" s="82" t="str">
        <f>IF('Setup ⚙️'!AQ7="","Blank_Text",'Setup ⚙️'!AQ7)</f>
        <v>Programmata</v>
      </c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G2" s="105"/>
      <c r="KH2" s="105"/>
      <c r="KI2" s="105"/>
      <c r="KJ2" s="105"/>
      <c r="KK2" s="105"/>
      <c r="KL2" s="105"/>
      <c r="KM2" s="105"/>
      <c r="KN2" s="105"/>
      <c r="KO2" s="105"/>
      <c r="KP2" s="105"/>
      <c r="KQ2" s="105"/>
      <c r="KR2" s="105"/>
      <c r="KS2" s="105"/>
      <c r="KT2" s="105"/>
      <c r="KU2" s="105"/>
      <c r="KV2" s="105"/>
      <c r="KW2" s="105"/>
      <c r="KX2" s="105"/>
      <c r="KY2" s="105"/>
      <c r="KZ2" s="105"/>
      <c r="LA2" s="105"/>
      <c r="LB2" s="105"/>
      <c r="LC2" s="105"/>
      <c r="LD2" s="105"/>
      <c r="LE2" s="105"/>
      <c r="LF2" s="105"/>
      <c r="LG2" s="105"/>
      <c r="LH2" s="105"/>
      <c r="LI2" s="105"/>
      <c r="LJ2" s="105"/>
      <c r="LK2" s="105"/>
      <c r="LL2" s="105"/>
      <c r="LM2" s="105"/>
      <c r="LN2" s="105"/>
      <c r="LO2" s="105"/>
      <c r="LP2" s="105"/>
      <c r="LQ2" s="105"/>
      <c r="LR2" s="105"/>
      <c r="LS2" s="105"/>
      <c r="LT2" s="105"/>
      <c r="LU2" s="105"/>
      <c r="LV2" s="105"/>
      <c r="LW2" s="105"/>
      <c r="LX2" s="105"/>
      <c r="LY2" s="105"/>
      <c r="LZ2" s="105"/>
      <c r="MA2" s="105"/>
      <c r="MB2" s="105"/>
      <c r="MC2" s="105"/>
      <c r="MD2" s="105"/>
      <c r="ME2" s="105"/>
      <c r="MF2" s="105"/>
      <c r="MG2" s="105"/>
      <c r="MH2" s="105"/>
      <c r="MI2" s="105"/>
      <c r="MJ2" s="105"/>
      <c r="MK2" s="105"/>
      <c r="ML2" s="105"/>
      <c r="MM2" s="105"/>
      <c r="MN2" s="105"/>
      <c r="MO2" s="105"/>
      <c r="MP2" s="105"/>
      <c r="MQ2" s="105"/>
      <c r="MR2" s="105"/>
      <c r="MS2" s="105"/>
      <c r="MT2" s="105"/>
      <c r="MU2" s="105"/>
      <c r="MV2" s="105"/>
      <c r="MW2" s="105"/>
      <c r="MX2" s="105"/>
      <c r="MY2" s="105"/>
      <c r="MZ2" s="105"/>
      <c r="NA2" s="105"/>
      <c r="NB2" s="105"/>
      <c r="NC2" s="105"/>
      <c r="ND2" s="105"/>
      <c r="NE2" s="105"/>
      <c r="NF2" s="105"/>
      <c r="NG2" s="105"/>
      <c r="NH2" s="105"/>
      <c r="NI2" s="105"/>
      <c r="NJ2" s="105"/>
      <c r="NK2" s="105"/>
      <c r="NL2" s="105"/>
      <c r="NM2" s="105"/>
      <c r="NN2" s="105"/>
      <c r="NO2" s="105"/>
      <c r="NP2" s="105"/>
      <c r="NQ2" s="105"/>
      <c r="NR2" s="105"/>
      <c r="NS2" s="105"/>
      <c r="NT2" s="105"/>
      <c r="NU2" s="105"/>
      <c r="NV2" s="105"/>
      <c r="NW2" s="105"/>
      <c r="NX2" s="105"/>
      <c r="NY2" s="105"/>
      <c r="NZ2" s="105"/>
      <c r="OA2" s="105"/>
      <c r="OB2" s="105"/>
      <c r="OC2" s="105"/>
      <c r="OD2" s="105"/>
      <c r="OE2" s="105"/>
      <c r="OF2" s="105"/>
      <c r="OG2" s="105"/>
      <c r="OH2" s="105"/>
      <c r="OI2" s="105"/>
      <c r="OJ2" s="105"/>
      <c r="OK2" s="105"/>
      <c r="OL2" s="105"/>
      <c r="OM2" s="105"/>
      <c r="ON2" s="105"/>
      <c r="OO2" s="105"/>
      <c r="OP2" s="105"/>
      <c r="OQ2" s="105"/>
      <c r="OR2" s="105"/>
      <c r="OS2" s="105"/>
      <c r="OT2" s="105"/>
      <c r="OU2" s="105"/>
      <c r="OV2" s="105"/>
      <c r="OW2" s="105"/>
      <c r="OX2" s="105"/>
      <c r="OY2" s="105"/>
      <c r="OZ2" s="105"/>
      <c r="PA2" s="105"/>
      <c r="PB2" s="105"/>
      <c r="PC2" s="105"/>
      <c r="PD2" s="105"/>
      <c r="PE2" s="105"/>
      <c r="PF2" s="105"/>
      <c r="PG2" s="105"/>
      <c r="PH2" s="105"/>
      <c r="PI2" s="105"/>
      <c r="PJ2" s="105"/>
      <c r="PK2" s="105"/>
      <c r="PL2" s="105"/>
      <c r="PM2" s="105"/>
      <c r="PN2" s="105"/>
      <c r="PO2" s="105"/>
      <c r="PP2" s="105"/>
      <c r="PQ2" s="105"/>
      <c r="PR2" s="105"/>
      <c r="PS2" s="105"/>
      <c r="PT2" s="105"/>
      <c r="PU2" s="105"/>
      <c r="PV2" s="105"/>
      <c r="PW2" s="105"/>
      <c r="PX2" s="105"/>
      <c r="PY2" s="105"/>
      <c r="PZ2" s="105"/>
      <c r="QA2" s="105"/>
      <c r="QB2" s="105"/>
      <c r="QC2" s="105"/>
      <c r="QD2" s="105"/>
      <c r="QE2" s="105"/>
      <c r="QF2" s="105"/>
      <c r="QG2" s="105"/>
      <c r="QH2" s="105"/>
      <c r="QI2" s="105"/>
      <c r="QJ2" s="105"/>
      <c r="QK2" s="105"/>
      <c r="QL2" s="105"/>
      <c r="QM2" s="105"/>
      <c r="QN2" s="105"/>
      <c r="QO2" s="105"/>
      <c r="QP2" s="105"/>
      <c r="QQ2" s="105"/>
      <c r="QR2" s="105"/>
      <c r="QS2" s="105"/>
      <c r="QT2" s="105"/>
      <c r="QU2" s="105"/>
      <c r="QV2" s="105"/>
      <c r="QW2" s="105"/>
      <c r="QX2" s="105"/>
      <c r="QY2" s="105"/>
      <c r="QZ2" s="105"/>
      <c r="RA2" s="105"/>
      <c r="RB2" s="105"/>
      <c r="RC2" s="105"/>
      <c r="RD2" s="105"/>
      <c r="RE2" s="105"/>
      <c r="RF2" s="105"/>
      <c r="RG2" s="105"/>
      <c r="RH2" s="105"/>
      <c r="RI2" s="105"/>
      <c r="RJ2" s="105"/>
      <c r="RK2" s="105"/>
      <c r="RL2" s="105"/>
      <c r="RM2" s="105"/>
      <c r="RN2" s="105"/>
      <c r="RO2" s="105"/>
      <c r="RP2" s="105"/>
      <c r="RQ2" s="105"/>
      <c r="RR2" s="105"/>
      <c r="RS2" s="105"/>
      <c r="RT2" s="105"/>
      <c r="RU2" s="105"/>
      <c r="RV2" s="105"/>
      <c r="RW2" s="105"/>
      <c r="RX2" s="105"/>
      <c r="RY2" s="105"/>
      <c r="RZ2" s="105"/>
      <c r="SA2" s="105"/>
      <c r="SB2" s="105"/>
      <c r="SC2" s="105"/>
    </row>
    <row r="3" spans="1:497" ht="15.75" customHeight="1" x14ac:dyDescent="0.15">
      <c r="A3" s="1"/>
      <c r="B3" s="110"/>
      <c r="C3" s="2" t="s">
        <v>85</v>
      </c>
      <c r="D3" s="131" t="s">
        <v>86</v>
      </c>
      <c r="E3" s="107"/>
      <c r="F3" s="108"/>
      <c r="G3" s="82" t="str">
        <f>IF('Setup ⚙️'!AQ8="","Blank_Text",'Setup ⚙️'!AQ8)</f>
        <v>In corso</v>
      </c>
      <c r="H3" s="132">
        <f>H9</f>
        <v>0</v>
      </c>
      <c r="I3" s="101">
        <f t="shared" ref="I3:JB3" si="0">I9</f>
        <v>2</v>
      </c>
      <c r="J3" s="101">
        <f>J9</f>
        <v>3</v>
      </c>
      <c r="K3" s="101">
        <f t="shared" si="0"/>
        <v>4</v>
      </c>
      <c r="L3" s="101">
        <f t="shared" si="0"/>
        <v>5</v>
      </c>
      <c r="M3" s="101">
        <f t="shared" si="0"/>
        <v>6</v>
      </c>
      <c r="N3" s="101">
        <f t="shared" si="0"/>
        <v>9</v>
      </c>
      <c r="O3" s="101">
        <f t="shared" si="0"/>
        <v>10</v>
      </c>
      <c r="P3" s="101">
        <f t="shared" si="0"/>
        <v>11</v>
      </c>
      <c r="Q3" s="101">
        <f t="shared" si="0"/>
        <v>12</v>
      </c>
      <c r="R3" s="101">
        <f t="shared" si="0"/>
        <v>13</v>
      </c>
      <c r="S3" s="101">
        <f t="shared" si="0"/>
        <v>16</v>
      </c>
      <c r="T3" s="101">
        <f t="shared" si="0"/>
        <v>17</v>
      </c>
      <c r="U3" s="101">
        <f t="shared" si="0"/>
        <v>18</v>
      </c>
      <c r="V3" s="101">
        <f t="shared" si="0"/>
        <v>19</v>
      </c>
      <c r="W3" s="101">
        <f t="shared" si="0"/>
        <v>20</v>
      </c>
      <c r="X3" s="101">
        <f t="shared" si="0"/>
        <v>23</v>
      </c>
      <c r="Y3" s="101">
        <f t="shared" si="0"/>
        <v>24</v>
      </c>
      <c r="Z3" s="101">
        <f t="shared" si="0"/>
        <v>25</v>
      </c>
      <c r="AA3" s="101">
        <f t="shared" si="0"/>
        <v>26</v>
      </c>
      <c r="AB3" s="101">
        <f t="shared" si="0"/>
        <v>27</v>
      </c>
      <c r="AC3" s="101">
        <f t="shared" si="0"/>
        <v>30</v>
      </c>
      <c r="AD3" s="101">
        <f t="shared" si="0"/>
        <v>31</v>
      </c>
      <c r="AE3" s="101">
        <f t="shared" si="0"/>
        <v>32</v>
      </c>
      <c r="AF3" s="101">
        <f t="shared" si="0"/>
        <v>33</v>
      </c>
      <c r="AG3" s="101">
        <f t="shared" si="0"/>
        <v>34</v>
      </c>
      <c r="AH3" s="101">
        <f t="shared" si="0"/>
        <v>37</v>
      </c>
      <c r="AI3" s="101">
        <f t="shared" si="0"/>
        <v>38</v>
      </c>
      <c r="AJ3" s="101">
        <f t="shared" si="0"/>
        <v>39</v>
      </c>
      <c r="AK3" s="101">
        <f t="shared" si="0"/>
        <v>40</v>
      </c>
      <c r="AL3" s="101">
        <f t="shared" si="0"/>
        <v>41</v>
      </c>
      <c r="AM3" s="101">
        <f t="shared" si="0"/>
        <v>44</v>
      </c>
      <c r="AN3" s="101">
        <f t="shared" si="0"/>
        <v>45</v>
      </c>
      <c r="AO3" s="101">
        <f t="shared" si="0"/>
        <v>46</v>
      </c>
      <c r="AP3" s="101">
        <f t="shared" si="0"/>
        <v>47</v>
      </c>
      <c r="AQ3" s="101">
        <f t="shared" si="0"/>
        <v>48</v>
      </c>
      <c r="AR3" s="101">
        <f t="shared" si="0"/>
        <v>51</v>
      </c>
      <c r="AS3" s="101">
        <f t="shared" si="0"/>
        <v>52</v>
      </c>
      <c r="AT3" s="101">
        <f t="shared" si="0"/>
        <v>53</v>
      </c>
      <c r="AU3" s="101">
        <f t="shared" si="0"/>
        <v>54</v>
      </c>
      <c r="AV3" s="101">
        <f t="shared" si="0"/>
        <v>55</v>
      </c>
      <c r="AW3" s="101">
        <f t="shared" si="0"/>
        <v>58</v>
      </c>
      <c r="AX3" s="101">
        <f t="shared" si="0"/>
        <v>59</v>
      </c>
      <c r="AY3" s="101">
        <f t="shared" si="0"/>
        <v>60</v>
      </c>
      <c r="AZ3" s="101">
        <f t="shared" si="0"/>
        <v>61</v>
      </c>
      <c r="BA3" s="101">
        <f t="shared" si="0"/>
        <v>62</v>
      </c>
      <c r="BB3" s="101">
        <f t="shared" si="0"/>
        <v>65</v>
      </c>
      <c r="BC3" s="101">
        <f t="shared" si="0"/>
        <v>66</v>
      </c>
      <c r="BD3" s="101">
        <f t="shared" si="0"/>
        <v>67</v>
      </c>
      <c r="BE3" s="101">
        <f t="shared" si="0"/>
        <v>68</v>
      </c>
      <c r="BF3" s="101">
        <f t="shared" si="0"/>
        <v>69</v>
      </c>
      <c r="BG3" s="101">
        <f t="shared" si="0"/>
        <v>72</v>
      </c>
      <c r="BH3" s="101">
        <f t="shared" si="0"/>
        <v>73</v>
      </c>
      <c r="BI3" s="101">
        <f t="shared" si="0"/>
        <v>74</v>
      </c>
      <c r="BJ3" s="101">
        <f t="shared" si="0"/>
        <v>75</v>
      </c>
      <c r="BK3" s="101">
        <f t="shared" si="0"/>
        <v>76</v>
      </c>
      <c r="BL3" s="101">
        <f t="shared" si="0"/>
        <v>79</v>
      </c>
      <c r="BM3" s="101">
        <f t="shared" si="0"/>
        <v>80</v>
      </c>
      <c r="BN3" s="101">
        <f t="shared" si="0"/>
        <v>81</v>
      </c>
      <c r="BO3" s="101">
        <f t="shared" si="0"/>
        <v>82</v>
      </c>
      <c r="BP3" s="101">
        <f t="shared" si="0"/>
        <v>83</v>
      </c>
      <c r="BQ3" s="101">
        <f t="shared" si="0"/>
        <v>86</v>
      </c>
      <c r="BR3" s="101">
        <f t="shared" si="0"/>
        <v>87</v>
      </c>
      <c r="BS3" s="101">
        <f t="shared" si="0"/>
        <v>88</v>
      </c>
      <c r="BT3" s="101">
        <f t="shared" si="0"/>
        <v>89</v>
      </c>
      <c r="BU3" s="101">
        <f t="shared" si="0"/>
        <v>90</v>
      </c>
      <c r="BV3" s="101">
        <f t="shared" si="0"/>
        <v>93</v>
      </c>
      <c r="BW3" s="101">
        <f t="shared" si="0"/>
        <v>94</v>
      </c>
      <c r="BX3" s="101">
        <f t="shared" si="0"/>
        <v>95</v>
      </c>
      <c r="BY3" s="101">
        <f t="shared" si="0"/>
        <v>96</v>
      </c>
      <c r="BZ3" s="101">
        <f t="shared" si="0"/>
        <v>97</v>
      </c>
      <c r="CA3" s="101">
        <f t="shared" si="0"/>
        <v>100</v>
      </c>
      <c r="CB3" s="101">
        <f t="shared" si="0"/>
        <v>101</v>
      </c>
      <c r="CC3" s="101">
        <f t="shared" si="0"/>
        <v>102</v>
      </c>
      <c r="CD3" s="101">
        <f t="shared" si="0"/>
        <v>103</v>
      </c>
      <c r="CE3" s="101">
        <f t="shared" si="0"/>
        <v>104</v>
      </c>
      <c r="CF3" s="101">
        <f t="shared" si="0"/>
        <v>107</v>
      </c>
      <c r="CG3" s="101">
        <f t="shared" si="0"/>
        <v>108</v>
      </c>
      <c r="CH3" s="101">
        <f t="shared" si="0"/>
        <v>109</v>
      </c>
      <c r="CI3" s="101">
        <f t="shared" si="0"/>
        <v>110</v>
      </c>
      <c r="CJ3" s="101">
        <f t="shared" si="0"/>
        <v>111</v>
      </c>
      <c r="CK3" s="101">
        <f t="shared" si="0"/>
        <v>114</v>
      </c>
      <c r="CL3" s="101">
        <f t="shared" si="0"/>
        <v>115</v>
      </c>
      <c r="CM3" s="101">
        <f t="shared" si="0"/>
        <v>116</v>
      </c>
      <c r="CN3" s="101">
        <f t="shared" si="0"/>
        <v>117</v>
      </c>
      <c r="CO3" s="101">
        <f t="shared" si="0"/>
        <v>118</v>
      </c>
      <c r="CP3" s="101">
        <f t="shared" si="0"/>
        <v>121</v>
      </c>
      <c r="CQ3" s="101">
        <f t="shared" si="0"/>
        <v>122</v>
      </c>
      <c r="CR3" s="101">
        <f t="shared" si="0"/>
        <v>123</v>
      </c>
      <c r="CS3" s="101">
        <f t="shared" si="0"/>
        <v>124</v>
      </c>
      <c r="CT3" s="101">
        <f t="shared" si="0"/>
        <v>125</v>
      </c>
      <c r="CU3" s="101">
        <f t="shared" si="0"/>
        <v>128</v>
      </c>
      <c r="CV3" s="101">
        <f t="shared" si="0"/>
        <v>129</v>
      </c>
      <c r="CW3" s="101">
        <f t="shared" si="0"/>
        <v>130</v>
      </c>
      <c r="CX3" s="101">
        <f t="shared" si="0"/>
        <v>131</v>
      </c>
      <c r="CY3" s="101">
        <f t="shared" si="0"/>
        <v>132</v>
      </c>
      <c r="CZ3" s="101">
        <f t="shared" si="0"/>
        <v>135</v>
      </c>
      <c r="DA3" s="101">
        <f t="shared" si="0"/>
        <v>136</v>
      </c>
      <c r="DB3" s="101">
        <f t="shared" si="0"/>
        <v>137</v>
      </c>
      <c r="DC3" s="101">
        <f t="shared" si="0"/>
        <v>138</v>
      </c>
      <c r="DD3" s="101">
        <f t="shared" si="0"/>
        <v>139</v>
      </c>
      <c r="DE3" s="101">
        <f t="shared" si="0"/>
        <v>142</v>
      </c>
      <c r="DF3" s="101">
        <f t="shared" si="0"/>
        <v>143</v>
      </c>
      <c r="DG3" s="101">
        <f t="shared" si="0"/>
        <v>144</v>
      </c>
      <c r="DH3" s="101">
        <f t="shared" si="0"/>
        <v>145</v>
      </c>
      <c r="DI3" s="101">
        <f t="shared" si="0"/>
        <v>146</v>
      </c>
      <c r="DJ3" s="101">
        <f t="shared" si="0"/>
        <v>149</v>
      </c>
      <c r="DK3" s="101">
        <f t="shared" si="0"/>
        <v>150</v>
      </c>
      <c r="DL3" s="101">
        <f t="shared" si="0"/>
        <v>151</v>
      </c>
      <c r="DM3" s="101">
        <f t="shared" si="0"/>
        <v>152</v>
      </c>
      <c r="DN3" s="101">
        <f t="shared" si="0"/>
        <v>153</v>
      </c>
      <c r="DO3" s="101">
        <f t="shared" si="0"/>
        <v>156</v>
      </c>
      <c r="DP3" s="101">
        <f t="shared" si="0"/>
        <v>157</v>
      </c>
      <c r="DQ3" s="101">
        <f t="shared" si="0"/>
        <v>158</v>
      </c>
      <c r="DR3" s="101">
        <f t="shared" si="0"/>
        <v>159</v>
      </c>
      <c r="DS3" s="101">
        <f t="shared" si="0"/>
        <v>160</v>
      </c>
      <c r="DT3" s="101">
        <f t="shared" si="0"/>
        <v>163</v>
      </c>
      <c r="DU3" s="101">
        <f t="shared" si="0"/>
        <v>164</v>
      </c>
      <c r="DV3" s="101">
        <f t="shared" si="0"/>
        <v>165</v>
      </c>
      <c r="DW3" s="101">
        <f t="shared" si="0"/>
        <v>166</v>
      </c>
      <c r="DX3" s="101">
        <f t="shared" si="0"/>
        <v>167</v>
      </c>
      <c r="DY3" s="101">
        <f t="shared" si="0"/>
        <v>170</v>
      </c>
      <c r="DZ3" s="101">
        <f t="shared" si="0"/>
        <v>171</v>
      </c>
      <c r="EA3" s="101">
        <f t="shared" si="0"/>
        <v>172</v>
      </c>
      <c r="EB3" s="101">
        <f t="shared" si="0"/>
        <v>173</v>
      </c>
      <c r="EC3" s="101">
        <f t="shared" si="0"/>
        <v>174</v>
      </c>
      <c r="ED3" s="101">
        <f t="shared" si="0"/>
        <v>177</v>
      </c>
      <c r="EE3" s="101">
        <f t="shared" si="0"/>
        <v>178</v>
      </c>
      <c r="EF3" s="101">
        <f t="shared" si="0"/>
        <v>179</v>
      </c>
      <c r="EG3" s="101">
        <f t="shared" si="0"/>
        <v>180</v>
      </c>
      <c r="EH3" s="101">
        <f t="shared" si="0"/>
        <v>181</v>
      </c>
      <c r="EI3" s="101">
        <f t="shared" si="0"/>
        <v>184</v>
      </c>
      <c r="EJ3" s="101">
        <f t="shared" si="0"/>
        <v>185</v>
      </c>
      <c r="EK3" s="101">
        <f t="shared" si="0"/>
        <v>186</v>
      </c>
      <c r="EL3" s="101">
        <f t="shared" si="0"/>
        <v>187</v>
      </c>
      <c r="EM3" s="101">
        <f t="shared" si="0"/>
        <v>188</v>
      </c>
      <c r="EN3" s="101">
        <f t="shared" si="0"/>
        <v>191</v>
      </c>
      <c r="EO3" s="101">
        <f t="shared" si="0"/>
        <v>192</v>
      </c>
      <c r="EP3" s="101">
        <f t="shared" si="0"/>
        <v>193</v>
      </c>
      <c r="EQ3" s="101">
        <f t="shared" si="0"/>
        <v>194</v>
      </c>
      <c r="ER3" s="101">
        <f t="shared" si="0"/>
        <v>195</v>
      </c>
      <c r="ES3" s="101">
        <f t="shared" si="0"/>
        <v>198</v>
      </c>
      <c r="ET3" s="101">
        <f t="shared" si="0"/>
        <v>199</v>
      </c>
      <c r="EU3" s="101">
        <f t="shared" si="0"/>
        <v>200</v>
      </c>
      <c r="EV3" s="101">
        <f t="shared" si="0"/>
        <v>201</v>
      </c>
      <c r="EW3" s="101">
        <f t="shared" si="0"/>
        <v>202</v>
      </c>
      <c r="EX3" s="101">
        <f t="shared" si="0"/>
        <v>205</v>
      </c>
      <c r="EY3" s="101">
        <f t="shared" si="0"/>
        <v>206</v>
      </c>
      <c r="EZ3" s="101">
        <f t="shared" si="0"/>
        <v>207</v>
      </c>
      <c r="FA3" s="101">
        <f t="shared" si="0"/>
        <v>208</v>
      </c>
      <c r="FB3" s="101">
        <f t="shared" si="0"/>
        <v>209</v>
      </c>
      <c r="FC3" s="101">
        <f t="shared" si="0"/>
        <v>212</v>
      </c>
      <c r="FD3" s="101">
        <f t="shared" si="0"/>
        <v>213</v>
      </c>
      <c r="FE3" s="101">
        <f t="shared" si="0"/>
        <v>214</v>
      </c>
      <c r="FF3" s="101">
        <f t="shared" si="0"/>
        <v>215</v>
      </c>
      <c r="FG3" s="101">
        <f t="shared" si="0"/>
        <v>216</v>
      </c>
      <c r="FH3" s="101">
        <f t="shared" si="0"/>
        <v>219</v>
      </c>
      <c r="FI3" s="101">
        <f t="shared" si="0"/>
        <v>220</v>
      </c>
      <c r="FJ3" s="101">
        <f t="shared" si="0"/>
        <v>221</v>
      </c>
      <c r="FK3" s="101">
        <f t="shared" si="0"/>
        <v>222</v>
      </c>
      <c r="FL3" s="101">
        <f t="shared" si="0"/>
        <v>223</v>
      </c>
      <c r="FM3" s="101">
        <f t="shared" si="0"/>
        <v>226</v>
      </c>
      <c r="FN3" s="101">
        <f t="shared" si="0"/>
        <v>227</v>
      </c>
      <c r="FO3" s="101">
        <f t="shared" si="0"/>
        <v>228</v>
      </c>
      <c r="FP3" s="101">
        <f t="shared" si="0"/>
        <v>229</v>
      </c>
      <c r="FQ3" s="101">
        <f t="shared" si="0"/>
        <v>230</v>
      </c>
      <c r="FR3" s="101">
        <f t="shared" si="0"/>
        <v>233</v>
      </c>
      <c r="FS3" s="101">
        <f t="shared" si="0"/>
        <v>234</v>
      </c>
      <c r="FT3" s="101">
        <f t="shared" si="0"/>
        <v>235</v>
      </c>
      <c r="FU3" s="101">
        <f t="shared" si="0"/>
        <v>236</v>
      </c>
      <c r="FV3" s="101">
        <f t="shared" si="0"/>
        <v>237</v>
      </c>
      <c r="FW3" s="101">
        <f t="shared" si="0"/>
        <v>240</v>
      </c>
      <c r="FX3" s="101">
        <f t="shared" si="0"/>
        <v>241</v>
      </c>
      <c r="FY3" s="101">
        <f t="shared" si="0"/>
        <v>242</v>
      </c>
      <c r="FZ3" s="101">
        <f t="shared" si="0"/>
        <v>243</v>
      </c>
      <c r="GA3" s="101">
        <f t="shared" si="0"/>
        <v>244</v>
      </c>
      <c r="GB3" s="101">
        <f t="shared" si="0"/>
        <v>247</v>
      </c>
      <c r="GC3" s="101">
        <f t="shared" si="0"/>
        <v>248</v>
      </c>
      <c r="GD3" s="101">
        <f t="shared" si="0"/>
        <v>249</v>
      </c>
      <c r="GE3" s="101">
        <f t="shared" si="0"/>
        <v>250</v>
      </c>
      <c r="GF3" s="101">
        <f t="shared" si="0"/>
        <v>251</v>
      </c>
      <c r="GG3" s="101">
        <f t="shared" si="0"/>
        <v>254</v>
      </c>
      <c r="GH3" s="101">
        <f t="shared" si="0"/>
        <v>255</v>
      </c>
      <c r="GI3" s="101">
        <f t="shared" si="0"/>
        <v>256</v>
      </c>
      <c r="GJ3" s="101">
        <f t="shared" si="0"/>
        <v>257</v>
      </c>
      <c r="GK3" s="101">
        <f t="shared" si="0"/>
        <v>258</v>
      </c>
      <c r="GL3" s="101">
        <f t="shared" si="0"/>
        <v>261</v>
      </c>
      <c r="GM3" s="101">
        <f t="shared" si="0"/>
        <v>262</v>
      </c>
      <c r="GN3" s="101">
        <f t="shared" si="0"/>
        <v>263</v>
      </c>
      <c r="GO3" s="101">
        <f t="shared" si="0"/>
        <v>264</v>
      </c>
      <c r="GP3" s="101">
        <f t="shared" si="0"/>
        <v>265</v>
      </c>
      <c r="GQ3" s="101">
        <f t="shared" si="0"/>
        <v>268</v>
      </c>
      <c r="GR3" s="101">
        <f t="shared" si="0"/>
        <v>269</v>
      </c>
      <c r="GS3" s="101">
        <f t="shared" si="0"/>
        <v>270</v>
      </c>
      <c r="GT3" s="101">
        <f t="shared" si="0"/>
        <v>271</v>
      </c>
      <c r="GU3" s="101">
        <f t="shared" si="0"/>
        <v>272</v>
      </c>
      <c r="GV3" s="101">
        <f t="shared" si="0"/>
        <v>275</v>
      </c>
      <c r="GW3" s="101">
        <f t="shared" si="0"/>
        <v>276</v>
      </c>
      <c r="GX3" s="101">
        <f t="shared" si="0"/>
        <v>277</v>
      </c>
      <c r="GY3" s="101">
        <f t="shared" si="0"/>
        <v>278</v>
      </c>
      <c r="GZ3" s="101">
        <f t="shared" si="0"/>
        <v>279</v>
      </c>
      <c r="HA3" s="101">
        <f t="shared" si="0"/>
        <v>282</v>
      </c>
      <c r="HB3" s="101">
        <f t="shared" si="0"/>
        <v>283</v>
      </c>
      <c r="HC3" s="101">
        <f t="shared" si="0"/>
        <v>284</v>
      </c>
      <c r="HD3" s="101">
        <f t="shared" si="0"/>
        <v>285</v>
      </c>
      <c r="HE3" s="101">
        <f t="shared" si="0"/>
        <v>286</v>
      </c>
      <c r="HF3" s="101">
        <f t="shared" si="0"/>
        <v>289</v>
      </c>
      <c r="HG3" s="101">
        <f t="shared" si="0"/>
        <v>290</v>
      </c>
      <c r="HH3" s="101">
        <f t="shared" si="0"/>
        <v>291</v>
      </c>
      <c r="HI3" s="101">
        <f t="shared" si="0"/>
        <v>292</v>
      </c>
      <c r="HJ3" s="101">
        <f t="shared" si="0"/>
        <v>293</v>
      </c>
      <c r="HK3" s="101">
        <f t="shared" si="0"/>
        <v>296</v>
      </c>
      <c r="HL3" s="101">
        <f t="shared" si="0"/>
        <v>297</v>
      </c>
      <c r="HM3" s="101">
        <f t="shared" si="0"/>
        <v>298</v>
      </c>
      <c r="HN3" s="101">
        <f t="shared" si="0"/>
        <v>299</v>
      </c>
      <c r="HO3" s="101">
        <f t="shared" si="0"/>
        <v>300</v>
      </c>
      <c r="HP3" s="101">
        <f t="shared" si="0"/>
        <v>303</v>
      </c>
      <c r="HQ3" s="101">
        <f t="shared" si="0"/>
        <v>304</v>
      </c>
      <c r="HR3" s="101">
        <f t="shared" si="0"/>
        <v>305</v>
      </c>
      <c r="HS3" s="101">
        <f t="shared" si="0"/>
        <v>306</v>
      </c>
      <c r="HT3" s="101">
        <f t="shared" si="0"/>
        <v>307</v>
      </c>
      <c r="HU3" s="101">
        <f t="shared" si="0"/>
        <v>310</v>
      </c>
      <c r="HV3" s="101">
        <f t="shared" si="0"/>
        <v>311</v>
      </c>
      <c r="HW3" s="101">
        <f t="shared" si="0"/>
        <v>312</v>
      </c>
      <c r="HX3" s="101">
        <f t="shared" si="0"/>
        <v>313</v>
      </c>
      <c r="HY3" s="101">
        <f t="shared" si="0"/>
        <v>314</v>
      </c>
      <c r="HZ3" s="101">
        <f t="shared" si="0"/>
        <v>317</v>
      </c>
      <c r="IA3" s="101">
        <f t="shared" si="0"/>
        <v>318</v>
      </c>
      <c r="IB3" s="101">
        <f t="shared" si="0"/>
        <v>319</v>
      </c>
      <c r="IC3" s="101">
        <f t="shared" si="0"/>
        <v>320</v>
      </c>
      <c r="ID3" s="101">
        <f t="shared" si="0"/>
        <v>321</v>
      </c>
      <c r="IE3" s="101">
        <f t="shared" si="0"/>
        <v>324</v>
      </c>
      <c r="IF3" s="101">
        <f t="shared" si="0"/>
        <v>325</v>
      </c>
      <c r="IG3" s="101">
        <f t="shared" si="0"/>
        <v>326</v>
      </c>
      <c r="IH3" s="101">
        <f t="shared" si="0"/>
        <v>327</v>
      </c>
      <c r="II3" s="101">
        <f t="shared" si="0"/>
        <v>328</v>
      </c>
      <c r="IJ3" s="101">
        <f t="shared" si="0"/>
        <v>331</v>
      </c>
      <c r="IK3" s="101">
        <f t="shared" si="0"/>
        <v>332</v>
      </c>
      <c r="IL3" s="101">
        <f t="shared" si="0"/>
        <v>333</v>
      </c>
      <c r="IM3" s="101">
        <f t="shared" si="0"/>
        <v>334</v>
      </c>
      <c r="IN3" s="101">
        <f t="shared" si="0"/>
        <v>335</v>
      </c>
      <c r="IO3" s="101">
        <f t="shared" si="0"/>
        <v>338</v>
      </c>
      <c r="IP3" s="101">
        <f t="shared" si="0"/>
        <v>339</v>
      </c>
      <c r="IQ3" s="101">
        <f t="shared" si="0"/>
        <v>340</v>
      </c>
      <c r="IR3" s="101">
        <f t="shared" si="0"/>
        <v>341</v>
      </c>
      <c r="IS3" s="101">
        <f t="shared" si="0"/>
        <v>342</v>
      </c>
      <c r="IT3" s="101">
        <f t="shared" si="0"/>
        <v>345</v>
      </c>
      <c r="IU3" s="101">
        <f t="shared" si="0"/>
        <v>346</v>
      </c>
      <c r="IV3" s="101">
        <f t="shared" si="0"/>
        <v>347</v>
      </c>
      <c r="IW3" s="101">
        <f t="shared" si="0"/>
        <v>348</v>
      </c>
      <c r="IX3" s="101">
        <f t="shared" si="0"/>
        <v>349</v>
      </c>
      <c r="IY3" s="101">
        <f t="shared" si="0"/>
        <v>352</v>
      </c>
      <c r="IZ3" s="101">
        <f t="shared" si="0"/>
        <v>353</v>
      </c>
      <c r="JA3" s="101">
        <f t="shared" si="0"/>
        <v>354</v>
      </c>
      <c r="JB3" s="101">
        <f t="shared" si="0"/>
        <v>355</v>
      </c>
      <c r="JC3" s="101">
        <f t="shared" ref="JC3:SC3" si="1">JC9</f>
        <v>356</v>
      </c>
      <c r="JD3" s="101">
        <f t="shared" si="1"/>
        <v>359</v>
      </c>
      <c r="JE3" s="101">
        <f t="shared" si="1"/>
        <v>360</v>
      </c>
      <c r="JF3" s="101">
        <f t="shared" si="1"/>
        <v>361</v>
      </c>
      <c r="JG3" s="101">
        <f t="shared" si="1"/>
        <v>362</v>
      </c>
      <c r="JH3" s="101">
        <f t="shared" si="1"/>
        <v>363</v>
      </c>
      <c r="JI3" s="101">
        <f t="shared" si="1"/>
        <v>366</v>
      </c>
      <c r="JJ3" s="101">
        <f t="shared" si="1"/>
        <v>367</v>
      </c>
      <c r="JK3" s="101">
        <f t="shared" si="1"/>
        <v>368</v>
      </c>
      <c r="JL3" s="101">
        <f t="shared" si="1"/>
        <v>369</v>
      </c>
      <c r="JM3" s="101">
        <f t="shared" si="1"/>
        <v>370</v>
      </c>
      <c r="JN3" s="101">
        <f t="shared" si="1"/>
        <v>373</v>
      </c>
      <c r="JO3" s="101">
        <f t="shared" si="1"/>
        <v>374</v>
      </c>
      <c r="JP3" s="101">
        <f t="shared" si="1"/>
        <v>375</v>
      </c>
      <c r="JQ3" s="101">
        <f t="shared" si="1"/>
        <v>376</v>
      </c>
      <c r="JR3" s="101">
        <f t="shared" si="1"/>
        <v>377</v>
      </c>
      <c r="JS3" s="101">
        <f t="shared" si="1"/>
        <v>380</v>
      </c>
      <c r="JT3" s="101">
        <f t="shared" si="1"/>
        <v>381</v>
      </c>
      <c r="JU3" s="101">
        <f t="shared" si="1"/>
        <v>382</v>
      </c>
      <c r="JV3" s="101">
        <f t="shared" si="1"/>
        <v>383</v>
      </c>
      <c r="JW3" s="101">
        <f t="shared" si="1"/>
        <v>384</v>
      </c>
      <c r="JX3" s="101">
        <f t="shared" si="1"/>
        <v>387</v>
      </c>
      <c r="JY3" s="101">
        <f t="shared" si="1"/>
        <v>388</v>
      </c>
      <c r="JZ3" s="101">
        <f t="shared" si="1"/>
        <v>389</v>
      </c>
      <c r="KA3" s="101">
        <f t="shared" si="1"/>
        <v>390</v>
      </c>
      <c r="KB3" s="101">
        <f t="shared" si="1"/>
        <v>391</v>
      </c>
      <c r="KC3" s="101">
        <f t="shared" si="1"/>
        <v>394</v>
      </c>
      <c r="KD3" s="101">
        <f t="shared" si="1"/>
        <v>395</v>
      </c>
      <c r="KE3" s="101">
        <f t="shared" si="1"/>
        <v>396</v>
      </c>
      <c r="KF3" s="101">
        <f t="shared" si="1"/>
        <v>397</v>
      </c>
      <c r="KG3" s="101">
        <f t="shared" si="1"/>
        <v>398</v>
      </c>
      <c r="KH3" s="101">
        <f t="shared" si="1"/>
        <v>401</v>
      </c>
      <c r="KI3" s="101">
        <f t="shared" si="1"/>
        <v>402</v>
      </c>
      <c r="KJ3" s="101">
        <f t="shared" si="1"/>
        <v>403</v>
      </c>
      <c r="KK3" s="101">
        <f t="shared" si="1"/>
        <v>404</v>
      </c>
      <c r="KL3" s="101">
        <f t="shared" si="1"/>
        <v>405</v>
      </c>
      <c r="KM3" s="101">
        <f t="shared" si="1"/>
        <v>408</v>
      </c>
      <c r="KN3" s="101">
        <f t="shared" si="1"/>
        <v>409</v>
      </c>
      <c r="KO3" s="101">
        <f t="shared" si="1"/>
        <v>410</v>
      </c>
      <c r="KP3" s="101">
        <f t="shared" si="1"/>
        <v>411</v>
      </c>
      <c r="KQ3" s="101">
        <f t="shared" si="1"/>
        <v>412</v>
      </c>
      <c r="KR3" s="101">
        <f t="shared" si="1"/>
        <v>415</v>
      </c>
      <c r="KS3" s="101">
        <f t="shared" si="1"/>
        <v>416</v>
      </c>
      <c r="KT3" s="101">
        <f t="shared" si="1"/>
        <v>417</v>
      </c>
      <c r="KU3" s="101">
        <f t="shared" si="1"/>
        <v>418</v>
      </c>
      <c r="KV3" s="101">
        <f t="shared" si="1"/>
        <v>419</v>
      </c>
      <c r="KW3" s="101">
        <f t="shared" si="1"/>
        <v>422</v>
      </c>
      <c r="KX3" s="101">
        <f t="shared" si="1"/>
        <v>423</v>
      </c>
      <c r="KY3" s="101">
        <f t="shared" si="1"/>
        <v>424</v>
      </c>
      <c r="KZ3" s="101">
        <f t="shared" si="1"/>
        <v>425</v>
      </c>
      <c r="LA3" s="101">
        <f t="shared" si="1"/>
        <v>426</v>
      </c>
      <c r="LB3" s="101">
        <f t="shared" si="1"/>
        <v>429</v>
      </c>
      <c r="LC3" s="101">
        <f t="shared" si="1"/>
        <v>430</v>
      </c>
      <c r="LD3" s="101">
        <f t="shared" si="1"/>
        <v>431</v>
      </c>
      <c r="LE3" s="101">
        <f t="shared" si="1"/>
        <v>432</v>
      </c>
      <c r="LF3" s="101">
        <f t="shared" si="1"/>
        <v>433</v>
      </c>
      <c r="LG3" s="101">
        <f t="shared" si="1"/>
        <v>436</v>
      </c>
      <c r="LH3" s="101">
        <f t="shared" si="1"/>
        <v>437</v>
      </c>
      <c r="LI3" s="101">
        <f t="shared" si="1"/>
        <v>438</v>
      </c>
      <c r="LJ3" s="101">
        <f t="shared" si="1"/>
        <v>439</v>
      </c>
      <c r="LK3" s="101">
        <f t="shared" si="1"/>
        <v>440</v>
      </c>
      <c r="LL3" s="101">
        <f t="shared" si="1"/>
        <v>443</v>
      </c>
      <c r="LM3" s="101">
        <f t="shared" si="1"/>
        <v>444</v>
      </c>
      <c r="LN3" s="101">
        <f t="shared" si="1"/>
        <v>445</v>
      </c>
      <c r="LO3" s="101">
        <f t="shared" si="1"/>
        <v>446</v>
      </c>
      <c r="LP3" s="101">
        <f t="shared" si="1"/>
        <v>447</v>
      </c>
      <c r="LQ3" s="101">
        <f t="shared" si="1"/>
        <v>450</v>
      </c>
      <c r="LR3" s="101">
        <f t="shared" si="1"/>
        <v>451</v>
      </c>
      <c r="LS3" s="101">
        <f t="shared" si="1"/>
        <v>452</v>
      </c>
      <c r="LT3" s="101">
        <f t="shared" si="1"/>
        <v>453</v>
      </c>
      <c r="LU3" s="101">
        <f t="shared" si="1"/>
        <v>454</v>
      </c>
      <c r="LV3" s="101">
        <f t="shared" si="1"/>
        <v>457</v>
      </c>
      <c r="LW3" s="101">
        <f t="shared" si="1"/>
        <v>458</v>
      </c>
      <c r="LX3" s="101">
        <f t="shared" si="1"/>
        <v>459</v>
      </c>
      <c r="LY3" s="101">
        <f t="shared" si="1"/>
        <v>460</v>
      </c>
      <c r="LZ3" s="101">
        <f t="shared" si="1"/>
        <v>461</v>
      </c>
      <c r="MA3" s="101">
        <f t="shared" si="1"/>
        <v>464</v>
      </c>
      <c r="MB3" s="101">
        <f t="shared" si="1"/>
        <v>465</v>
      </c>
      <c r="MC3" s="101">
        <f t="shared" si="1"/>
        <v>466</v>
      </c>
      <c r="MD3" s="101">
        <f t="shared" si="1"/>
        <v>467</v>
      </c>
      <c r="ME3" s="101">
        <f t="shared" si="1"/>
        <v>468</v>
      </c>
      <c r="MF3" s="101">
        <f t="shared" si="1"/>
        <v>471</v>
      </c>
      <c r="MG3" s="101">
        <f t="shared" si="1"/>
        <v>472</v>
      </c>
      <c r="MH3" s="101">
        <f t="shared" si="1"/>
        <v>473</v>
      </c>
      <c r="MI3" s="101">
        <f t="shared" si="1"/>
        <v>474</v>
      </c>
      <c r="MJ3" s="101">
        <f t="shared" si="1"/>
        <v>475</v>
      </c>
      <c r="MK3" s="101">
        <f t="shared" si="1"/>
        <v>478</v>
      </c>
      <c r="ML3" s="101">
        <f t="shared" si="1"/>
        <v>479</v>
      </c>
      <c r="MM3" s="101">
        <f t="shared" si="1"/>
        <v>480</v>
      </c>
      <c r="MN3" s="101">
        <f t="shared" si="1"/>
        <v>481</v>
      </c>
      <c r="MO3" s="101">
        <f t="shared" si="1"/>
        <v>482</v>
      </c>
      <c r="MP3" s="101">
        <f t="shared" si="1"/>
        <v>485</v>
      </c>
      <c r="MQ3" s="101">
        <f t="shared" si="1"/>
        <v>486</v>
      </c>
      <c r="MR3" s="101">
        <f t="shared" si="1"/>
        <v>487</v>
      </c>
      <c r="MS3" s="101">
        <f t="shared" si="1"/>
        <v>488</v>
      </c>
      <c r="MT3" s="101">
        <f t="shared" si="1"/>
        <v>489</v>
      </c>
      <c r="MU3" s="101">
        <f t="shared" si="1"/>
        <v>492</v>
      </c>
      <c r="MV3" s="101">
        <f t="shared" si="1"/>
        <v>493</v>
      </c>
      <c r="MW3" s="101">
        <f t="shared" si="1"/>
        <v>494</v>
      </c>
      <c r="MX3" s="101">
        <f t="shared" si="1"/>
        <v>495</v>
      </c>
      <c r="MY3" s="101">
        <f t="shared" si="1"/>
        <v>496</v>
      </c>
      <c r="MZ3" s="101">
        <f t="shared" si="1"/>
        <v>499</v>
      </c>
      <c r="NA3" s="101">
        <f t="shared" si="1"/>
        <v>500</v>
      </c>
      <c r="NB3" s="101">
        <f t="shared" si="1"/>
        <v>501</v>
      </c>
      <c r="NC3" s="101">
        <f t="shared" si="1"/>
        <v>502</v>
      </c>
      <c r="ND3" s="101">
        <f t="shared" si="1"/>
        <v>503</v>
      </c>
      <c r="NE3" s="101">
        <f t="shared" si="1"/>
        <v>506</v>
      </c>
      <c r="NF3" s="101">
        <f t="shared" si="1"/>
        <v>507</v>
      </c>
      <c r="NG3" s="101">
        <f t="shared" si="1"/>
        <v>508</v>
      </c>
      <c r="NH3" s="101">
        <f t="shared" si="1"/>
        <v>509</v>
      </c>
      <c r="NI3" s="101">
        <f t="shared" si="1"/>
        <v>510</v>
      </c>
      <c r="NJ3" s="101">
        <f t="shared" si="1"/>
        <v>513</v>
      </c>
      <c r="NK3" s="101">
        <f t="shared" si="1"/>
        <v>514</v>
      </c>
      <c r="NL3" s="101">
        <f t="shared" si="1"/>
        <v>515</v>
      </c>
      <c r="NM3" s="101">
        <f t="shared" si="1"/>
        <v>516</v>
      </c>
      <c r="NN3" s="101">
        <f t="shared" si="1"/>
        <v>517</v>
      </c>
      <c r="NO3" s="101">
        <f t="shared" si="1"/>
        <v>520</v>
      </c>
      <c r="NP3" s="101">
        <f t="shared" si="1"/>
        <v>521</v>
      </c>
      <c r="NQ3" s="101">
        <f t="shared" si="1"/>
        <v>522</v>
      </c>
      <c r="NR3" s="101">
        <f t="shared" si="1"/>
        <v>523</v>
      </c>
      <c r="NS3" s="101">
        <f t="shared" si="1"/>
        <v>524</v>
      </c>
      <c r="NT3" s="101">
        <f t="shared" si="1"/>
        <v>527</v>
      </c>
      <c r="NU3" s="101">
        <f t="shared" si="1"/>
        <v>528</v>
      </c>
      <c r="NV3" s="101">
        <f t="shared" si="1"/>
        <v>529</v>
      </c>
      <c r="NW3" s="101">
        <f t="shared" si="1"/>
        <v>530</v>
      </c>
      <c r="NX3" s="101">
        <f t="shared" si="1"/>
        <v>531</v>
      </c>
      <c r="NY3" s="101">
        <f t="shared" si="1"/>
        <v>534</v>
      </c>
      <c r="NZ3" s="101">
        <f t="shared" si="1"/>
        <v>535</v>
      </c>
      <c r="OA3" s="101">
        <f t="shared" si="1"/>
        <v>536</v>
      </c>
      <c r="OB3" s="101">
        <f t="shared" si="1"/>
        <v>537</v>
      </c>
      <c r="OC3" s="101">
        <f t="shared" si="1"/>
        <v>538</v>
      </c>
      <c r="OD3" s="101">
        <f t="shared" si="1"/>
        <v>541</v>
      </c>
      <c r="OE3" s="101">
        <f t="shared" si="1"/>
        <v>542</v>
      </c>
      <c r="OF3" s="101">
        <f t="shared" si="1"/>
        <v>543</v>
      </c>
      <c r="OG3" s="101">
        <f t="shared" si="1"/>
        <v>544</v>
      </c>
      <c r="OH3" s="101">
        <f t="shared" si="1"/>
        <v>545</v>
      </c>
      <c r="OI3" s="101">
        <f t="shared" si="1"/>
        <v>548</v>
      </c>
      <c r="OJ3" s="101">
        <f t="shared" si="1"/>
        <v>549</v>
      </c>
      <c r="OK3" s="101">
        <f t="shared" si="1"/>
        <v>550</v>
      </c>
      <c r="OL3" s="101">
        <f t="shared" si="1"/>
        <v>551</v>
      </c>
      <c r="OM3" s="101">
        <f t="shared" si="1"/>
        <v>552</v>
      </c>
      <c r="ON3" s="101">
        <f t="shared" si="1"/>
        <v>555</v>
      </c>
      <c r="OO3" s="101">
        <f t="shared" si="1"/>
        <v>556</v>
      </c>
      <c r="OP3" s="101">
        <f t="shared" si="1"/>
        <v>557</v>
      </c>
      <c r="OQ3" s="101">
        <f t="shared" si="1"/>
        <v>558</v>
      </c>
      <c r="OR3" s="101">
        <f t="shared" si="1"/>
        <v>559</v>
      </c>
      <c r="OS3" s="101">
        <f t="shared" si="1"/>
        <v>562</v>
      </c>
      <c r="OT3" s="101">
        <f t="shared" si="1"/>
        <v>563</v>
      </c>
      <c r="OU3" s="101">
        <f t="shared" si="1"/>
        <v>564</v>
      </c>
      <c r="OV3" s="101">
        <f t="shared" si="1"/>
        <v>565</v>
      </c>
      <c r="OW3" s="101">
        <f t="shared" si="1"/>
        <v>566</v>
      </c>
      <c r="OX3" s="101">
        <f t="shared" si="1"/>
        <v>569</v>
      </c>
      <c r="OY3" s="101">
        <f t="shared" si="1"/>
        <v>570</v>
      </c>
      <c r="OZ3" s="101">
        <f t="shared" si="1"/>
        <v>571</v>
      </c>
      <c r="PA3" s="101">
        <f t="shared" si="1"/>
        <v>572</v>
      </c>
      <c r="PB3" s="101">
        <f t="shared" si="1"/>
        <v>573</v>
      </c>
      <c r="PC3" s="101">
        <f t="shared" si="1"/>
        <v>576</v>
      </c>
      <c r="PD3" s="101">
        <f t="shared" si="1"/>
        <v>577</v>
      </c>
      <c r="PE3" s="101">
        <f t="shared" si="1"/>
        <v>578</v>
      </c>
      <c r="PF3" s="101">
        <f t="shared" si="1"/>
        <v>579</v>
      </c>
      <c r="PG3" s="101">
        <f t="shared" si="1"/>
        <v>580</v>
      </c>
      <c r="PH3" s="101">
        <f t="shared" si="1"/>
        <v>583</v>
      </c>
      <c r="PI3" s="101">
        <f t="shared" si="1"/>
        <v>584</v>
      </c>
      <c r="PJ3" s="101">
        <f t="shared" si="1"/>
        <v>585</v>
      </c>
      <c r="PK3" s="101">
        <f t="shared" si="1"/>
        <v>586</v>
      </c>
      <c r="PL3" s="101">
        <f t="shared" si="1"/>
        <v>587</v>
      </c>
      <c r="PM3" s="101">
        <f t="shared" si="1"/>
        <v>590</v>
      </c>
      <c r="PN3" s="101">
        <f t="shared" si="1"/>
        <v>591</v>
      </c>
      <c r="PO3" s="101">
        <f t="shared" si="1"/>
        <v>592</v>
      </c>
      <c r="PP3" s="101">
        <f t="shared" si="1"/>
        <v>593</v>
      </c>
      <c r="PQ3" s="101">
        <f t="shared" si="1"/>
        <v>594</v>
      </c>
      <c r="PR3" s="101">
        <f t="shared" si="1"/>
        <v>597</v>
      </c>
      <c r="PS3" s="101">
        <f t="shared" si="1"/>
        <v>598</v>
      </c>
      <c r="PT3" s="101">
        <f t="shared" si="1"/>
        <v>599</v>
      </c>
      <c r="PU3" s="101">
        <f t="shared" si="1"/>
        <v>600</v>
      </c>
      <c r="PV3" s="101">
        <f t="shared" si="1"/>
        <v>601</v>
      </c>
      <c r="PW3" s="101">
        <f t="shared" si="1"/>
        <v>604</v>
      </c>
      <c r="PX3" s="101">
        <f t="shared" si="1"/>
        <v>605</v>
      </c>
      <c r="PY3" s="101">
        <f t="shared" si="1"/>
        <v>606</v>
      </c>
      <c r="PZ3" s="101">
        <f t="shared" si="1"/>
        <v>607</v>
      </c>
      <c r="QA3" s="101">
        <f t="shared" si="1"/>
        <v>608</v>
      </c>
      <c r="QB3" s="101">
        <f t="shared" si="1"/>
        <v>611</v>
      </c>
      <c r="QC3" s="101">
        <f t="shared" si="1"/>
        <v>612</v>
      </c>
      <c r="QD3" s="101">
        <f t="shared" si="1"/>
        <v>613</v>
      </c>
      <c r="QE3" s="101">
        <f t="shared" si="1"/>
        <v>614</v>
      </c>
      <c r="QF3" s="101">
        <f t="shared" si="1"/>
        <v>615</v>
      </c>
      <c r="QG3" s="101">
        <f t="shared" si="1"/>
        <v>618</v>
      </c>
      <c r="QH3" s="101">
        <f t="shared" si="1"/>
        <v>619</v>
      </c>
      <c r="QI3" s="101">
        <f t="shared" si="1"/>
        <v>620</v>
      </c>
      <c r="QJ3" s="101">
        <f t="shared" si="1"/>
        <v>621</v>
      </c>
      <c r="QK3" s="101">
        <f t="shared" si="1"/>
        <v>622</v>
      </c>
      <c r="QL3" s="101">
        <f t="shared" si="1"/>
        <v>625</v>
      </c>
      <c r="QM3" s="101">
        <f t="shared" si="1"/>
        <v>626</v>
      </c>
      <c r="QN3" s="101">
        <f t="shared" si="1"/>
        <v>627</v>
      </c>
      <c r="QO3" s="101">
        <f t="shared" si="1"/>
        <v>628</v>
      </c>
      <c r="QP3" s="101">
        <f t="shared" si="1"/>
        <v>629</v>
      </c>
      <c r="QQ3" s="101">
        <f t="shared" si="1"/>
        <v>632</v>
      </c>
      <c r="QR3" s="101">
        <f t="shared" si="1"/>
        <v>633</v>
      </c>
      <c r="QS3" s="101">
        <f t="shared" si="1"/>
        <v>634</v>
      </c>
      <c r="QT3" s="101">
        <f t="shared" si="1"/>
        <v>635</v>
      </c>
      <c r="QU3" s="101">
        <f t="shared" si="1"/>
        <v>636</v>
      </c>
      <c r="QV3" s="101">
        <f t="shared" si="1"/>
        <v>639</v>
      </c>
      <c r="QW3" s="101">
        <f t="shared" si="1"/>
        <v>640</v>
      </c>
      <c r="QX3" s="101">
        <f t="shared" si="1"/>
        <v>641</v>
      </c>
      <c r="QY3" s="101">
        <f t="shared" si="1"/>
        <v>642</v>
      </c>
      <c r="QZ3" s="101">
        <f t="shared" si="1"/>
        <v>643</v>
      </c>
      <c r="RA3" s="101">
        <f t="shared" si="1"/>
        <v>646</v>
      </c>
      <c r="RB3" s="101">
        <f t="shared" si="1"/>
        <v>647</v>
      </c>
      <c r="RC3" s="101">
        <f t="shared" si="1"/>
        <v>648</v>
      </c>
      <c r="RD3" s="101">
        <f t="shared" si="1"/>
        <v>649</v>
      </c>
      <c r="RE3" s="101">
        <f t="shared" si="1"/>
        <v>650</v>
      </c>
      <c r="RF3" s="101">
        <f t="shared" si="1"/>
        <v>653</v>
      </c>
      <c r="RG3" s="101">
        <f t="shared" si="1"/>
        <v>654</v>
      </c>
      <c r="RH3" s="101">
        <f t="shared" si="1"/>
        <v>655</v>
      </c>
      <c r="RI3" s="101">
        <f t="shared" si="1"/>
        <v>656</v>
      </c>
      <c r="RJ3" s="101">
        <f t="shared" si="1"/>
        <v>657</v>
      </c>
      <c r="RK3" s="101">
        <f t="shared" si="1"/>
        <v>660</v>
      </c>
      <c r="RL3" s="101">
        <f t="shared" si="1"/>
        <v>661</v>
      </c>
      <c r="RM3" s="101">
        <f t="shared" si="1"/>
        <v>662</v>
      </c>
      <c r="RN3" s="101">
        <f t="shared" si="1"/>
        <v>663</v>
      </c>
      <c r="RO3" s="101">
        <f t="shared" si="1"/>
        <v>664</v>
      </c>
      <c r="RP3" s="101">
        <f t="shared" si="1"/>
        <v>667</v>
      </c>
      <c r="RQ3" s="101">
        <f t="shared" si="1"/>
        <v>668</v>
      </c>
      <c r="RR3" s="101">
        <f t="shared" si="1"/>
        <v>669</v>
      </c>
      <c r="RS3" s="101">
        <f t="shared" si="1"/>
        <v>670</v>
      </c>
      <c r="RT3" s="101">
        <f t="shared" si="1"/>
        <v>671</v>
      </c>
      <c r="RU3" s="101">
        <f t="shared" si="1"/>
        <v>674</v>
      </c>
      <c r="RV3" s="101">
        <f t="shared" si="1"/>
        <v>675</v>
      </c>
      <c r="RW3" s="101">
        <f t="shared" si="1"/>
        <v>676</v>
      </c>
      <c r="RX3" s="101">
        <f t="shared" si="1"/>
        <v>677</v>
      </c>
      <c r="RY3" s="101">
        <f t="shared" si="1"/>
        <v>678</v>
      </c>
      <c r="RZ3" s="101">
        <f t="shared" si="1"/>
        <v>681</v>
      </c>
      <c r="SA3" s="101">
        <f t="shared" si="1"/>
        <v>682</v>
      </c>
      <c r="SB3" s="101">
        <f t="shared" si="1"/>
        <v>683</v>
      </c>
      <c r="SC3" s="101">
        <f t="shared" si="1"/>
        <v>684</v>
      </c>
    </row>
    <row r="4" spans="1:497" ht="15.75" customHeight="1" x14ac:dyDescent="0.15">
      <c r="A4" s="1"/>
      <c r="B4" s="110"/>
      <c r="C4" s="2" t="s">
        <v>87</v>
      </c>
      <c r="D4" s="106"/>
      <c r="E4" s="107"/>
      <c r="F4" s="108"/>
      <c r="G4" s="82" t="str">
        <f>IF('Setup ⚙️'!AQ9="","Blank_Text",'Setup ⚙️'!AQ9)</f>
        <v>Da pianificare</v>
      </c>
      <c r="H4" s="133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  <c r="BM4" s="102"/>
      <c r="BN4" s="102"/>
      <c r="BO4" s="102"/>
      <c r="BP4" s="102"/>
      <c r="BQ4" s="102"/>
      <c r="BR4" s="102"/>
      <c r="BS4" s="102"/>
      <c r="BT4" s="102"/>
      <c r="BU4" s="102"/>
      <c r="BV4" s="102"/>
      <c r="BW4" s="102"/>
      <c r="BX4" s="102"/>
      <c r="BY4" s="102"/>
      <c r="BZ4" s="102"/>
      <c r="CA4" s="102"/>
      <c r="CB4" s="102"/>
      <c r="CC4" s="102"/>
      <c r="CD4" s="102"/>
      <c r="CE4" s="102"/>
      <c r="CF4" s="102"/>
      <c r="CG4" s="102"/>
      <c r="CH4" s="102"/>
      <c r="CI4" s="102"/>
      <c r="CJ4" s="102"/>
      <c r="CK4" s="102"/>
      <c r="CL4" s="102"/>
      <c r="CM4" s="102"/>
      <c r="CN4" s="102"/>
      <c r="CO4" s="102"/>
      <c r="CP4" s="102"/>
      <c r="CQ4" s="102"/>
      <c r="CR4" s="102"/>
      <c r="CS4" s="102"/>
      <c r="CT4" s="102"/>
      <c r="CU4" s="102"/>
      <c r="CV4" s="102"/>
      <c r="CW4" s="102"/>
      <c r="CX4" s="102"/>
      <c r="CY4" s="102"/>
      <c r="CZ4" s="102"/>
      <c r="DA4" s="102"/>
      <c r="DB4" s="102"/>
      <c r="DC4" s="102"/>
      <c r="DD4" s="102"/>
      <c r="DE4" s="102"/>
      <c r="DF4" s="102"/>
      <c r="DG4" s="102"/>
      <c r="DH4" s="102"/>
      <c r="DI4" s="102"/>
      <c r="DJ4" s="102"/>
      <c r="DK4" s="102"/>
      <c r="DL4" s="102"/>
      <c r="DM4" s="102"/>
      <c r="DN4" s="102"/>
      <c r="DO4" s="102"/>
      <c r="DP4" s="102"/>
      <c r="DQ4" s="102"/>
      <c r="DR4" s="102"/>
      <c r="DS4" s="102"/>
      <c r="DT4" s="102"/>
      <c r="DU4" s="102"/>
      <c r="DV4" s="102"/>
      <c r="DW4" s="102"/>
      <c r="DX4" s="102"/>
      <c r="DY4" s="102"/>
      <c r="DZ4" s="102"/>
      <c r="EA4" s="102"/>
      <c r="EB4" s="102"/>
      <c r="EC4" s="102"/>
      <c r="ED4" s="102"/>
      <c r="EE4" s="102"/>
      <c r="EF4" s="102"/>
      <c r="EG4" s="102"/>
      <c r="EH4" s="102"/>
      <c r="EI4" s="102"/>
      <c r="EJ4" s="102"/>
      <c r="EK4" s="102"/>
      <c r="EL4" s="102"/>
      <c r="EM4" s="102"/>
      <c r="EN4" s="102"/>
      <c r="EO4" s="102"/>
      <c r="EP4" s="102"/>
      <c r="EQ4" s="102"/>
      <c r="ER4" s="102"/>
      <c r="ES4" s="102"/>
      <c r="ET4" s="102"/>
      <c r="EU4" s="102"/>
      <c r="EV4" s="102"/>
      <c r="EW4" s="102"/>
      <c r="EX4" s="102"/>
      <c r="EY4" s="102"/>
      <c r="EZ4" s="102"/>
      <c r="FA4" s="102"/>
      <c r="FB4" s="102"/>
      <c r="FC4" s="102"/>
      <c r="FD4" s="102"/>
      <c r="FE4" s="102"/>
      <c r="FF4" s="102"/>
      <c r="FG4" s="102"/>
      <c r="FH4" s="102"/>
      <c r="FI4" s="102"/>
      <c r="FJ4" s="102"/>
      <c r="FK4" s="102"/>
      <c r="FL4" s="102"/>
      <c r="FM4" s="102"/>
      <c r="FN4" s="102"/>
      <c r="FO4" s="102"/>
      <c r="FP4" s="102"/>
      <c r="FQ4" s="102"/>
      <c r="FR4" s="102"/>
      <c r="FS4" s="102"/>
      <c r="FT4" s="102"/>
      <c r="FU4" s="102"/>
      <c r="FV4" s="102"/>
      <c r="FW4" s="102"/>
      <c r="FX4" s="102"/>
      <c r="FY4" s="102"/>
      <c r="FZ4" s="102"/>
      <c r="GA4" s="102"/>
      <c r="GB4" s="102"/>
      <c r="GC4" s="102"/>
      <c r="GD4" s="102"/>
      <c r="GE4" s="102"/>
      <c r="GF4" s="102"/>
      <c r="GG4" s="102"/>
      <c r="GH4" s="102"/>
      <c r="GI4" s="102"/>
      <c r="GJ4" s="102"/>
      <c r="GK4" s="102"/>
      <c r="GL4" s="102"/>
      <c r="GM4" s="102"/>
      <c r="GN4" s="102"/>
      <c r="GO4" s="102"/>
      <c r="GP4" s="102"/>
      <c r="GQ4" s="102"/>
      <c r="GR4" s="102"/>
      <c r="GS4" s="102"/>
      <c r="GT4" s="102"/>
      <c r="GU4" s="102"/>
      <c r="GV4" s="102"/>
      <c r="GW4" s="102"/>
      <c r="GX4" s="102"/>
      <c r="GY4" s="102"/>
      <c r="GZ4" s="102"/>
      <c r="HA4" s="102"/>
      <c r="HB4" s="102"/>
      <c r="HC4" s="102"/>
      <c r="HD4" s="102"/>
      <c r="HE4" s="102"/>
      <c r="HF4" s="102"/>
      <c r="HG4" s="102"/>
      <c r="HH4" s="102"/>
      <c r="HI4" s="102"/>
      <c r="HJ4" s="102"/>
      <c r="HK4" s="102"/>
      <c r="HL4" s="102"/>
      <c r="HM4" s="102"/>
      <c r="HN4" s="102"/>
      <c r="HO4" s="102"/>
      <c r="HP4" s="102"/>
      <c r="HQ4" s="102"/>
      <c r="HR4" s="102"/>
      <c r="HS4" s="102"/>
      <c r="HT4" s="102"/>
      <c r="HU4" s="102"/>
      <c r="HV4" s="102"/>
      <c r="HW4" s="102"/>
      <c r="HX4" s="102"/>
      <c r="HY4" s="102"/>
      <c r="HZ4" s="102"/>
      <c r="IA4" s="102"/>
      <c r="IB4" s="102"/>
      <c r="IC4" s="102"/>
      <c r="ID4" s="102"/>
      <c r="IE4" s="102"/>
      <c r="IF4" s="102"/>
      <c r="IG4" s="102"/>
      <c r="IH4" s="102"/>
      <c r="II4" s="102"/>
      <c r="IJ4" s="102"/>
      <c r="IK4" s="102"/>
      <c r="IL4" s="102"/>
      <c r="IM4" s="102"/>
      <c r="IN4" s="102"/>
      <c r="IO4" s="102"/>
      <c r="IP4" s="102"/>
      <c r="IQ4" s="102"/>
      <c r="IR4" s="102"/>
      <c r="IS4" s="102"/>
      <c r="IT4" s="102"/>
      <c r="IU4" s="102"/>
      <c r="IV4" s="102"/>
      <c r="IW4" s="102"/>
      <c r="IX4" s="102"/>
      <c r="IY4" s="102"/>
      <c r="IZ4" s="102"/>
      <c r="JA4" s="102"/>
      <c r="JB4" s="102"/>
      <c r="JC4" s="102"/>
      <c r="JD4" s="102"/>
      <c r="JE4" s="102"/>
      <c r="JF4" s="102"/>
      <c r="JG4" s="102"/>
      <c r="JH4" s="102"/>
      <c r="JI4" s="102"/>
      <c r="JJ4" s="102"/>
      <c r="JK4" s="102"/>
      <c r="JL4" s="102"/>
      <c r="JM4" s="102"/>
      <c r="JN4" s="102"/>
      <c r="JO4" s="102"/>
      <c r="JP4" s="102"/>
      <c r="JQ4" s="102"/>
      <c r="JR4" s="102"/>
      <c r="JS4" s="102"/>
      <c r="JT4" s="102"/>
      <c r="JU4" s="102"/>
      <c r="JV4" s="102"/>
      <c r="JW4" s="102"/>
      <c r="JX4" s="102"/>
      <c r="JY4" s="102"/>
      <c r="JZ4" s="102"/>
      <c r="KA4" s="102"/>
      <c r="KB4" s="102"/>
      <c r="KC4" s="102"/>
      <c r="KD4" s="102"/>
      <c r="KE4" s="102"/>
      <c r="KF4" s="102"/>
      <c r="KG4" s="102"/>
      <c r="KH4" s="102"/>
      <c r="KI4" s="102"/>
      <c r="KJ4" s="102"/>
      <c r="KK4" s="102"/>
      <c r="KL4" s="102"/>
      <c r="KM4" s="102"/>
      <c r="KN4" s="102"/>
      <c r="KO4" s="102"/>
      <c r="KP4" s="102"/>
      <c r="KQ4" s="102"/>
      <c r="KR4" s="102"/>
      <c r="KS4" s="102"/>
      <c r="KT4" s="102"/>
      <c r="KU4" s="102"/>
      <c r="KV4" s="102"/>
      <c r="KW4" s="102"/>
      <c r="KX4" s="102"/>
      <c r="KY4" s="102"/>
      <c r="KZ4" s="102"/>
      <c r="LA4" s="102"/>
      <c r="LB4" s="102"/>
      <c r="LC4" s="102"/>
      <c r="LD4" s="102"/>
      <c r="LE4" s="102"/>
      <c r="LF4" s="102"/>
      <c r="LG4" s="102"/>
      <c r="LH4" s="102"/>
      <c r="LI4" s="102"/>
      <c r="LJ4" s="102"/>
      <c r="LK4" s="102"/>
      <c r="LL4" s="102"/>
      <c r="LM4" s="102"/>
      <c r="LN4" s="102"/>
      <c r="LO4" s="102"/>
      <c r="LP4" s="102"/>
      <c r="LQ4" s="102"/>
      <c r="LR4" s="102"/>
      <c r="LS4" s="102"/>
      <c r="LT4" s="102"/>
      <c r="LU4" s="102"/>
      <c r="LV4" s="102"/>
      <c r="LW4" s="102"/>
      <c r="LX4" s="102"/>
      <c r="LY4" s="102"/>
      <c r="LZ4" s="102"/>
      <c r="MA4" s="102"/>
      <c r="MB4" s="102"/>
      <c r="MC4" s="102"/>
      <c r="MD4" s="102"/>
      <c r="ME4" s="102"/>
      <c r="MF4" s="102"/>
      <c r="MG4" s="102"/>
      <c r="MH4" s="102"/>
      <c r="MI4" s="102"/>
      <c r="MJ4" s="102"/>
      <c r="MK4" s="102"/>
      <c r="ML4" s="102"/>
      <c r="MM4" s="102"/>
      <c r="MN4" s="102"/>
      <c r="MO4" s="102"/>
      <c r="MP4" s="102"/>
      <c r="MQ4" s="102"/>
      <c r="MR4" s="102"/>
      <c r="MS4" s="102"/>
      <c r="MT4" s="102"/>
      <c r="MU4" s="102"/>
      <c r="MV4" s="102"/>
      <c r="MW4" s="102"/>
      <c r="MX4" s="102"/>
      <c r="MY4" s="102"/>
      <c r="MZ4" s="102"/>
      <c r="NA4" s="102"/>
      <c r="NB4" s="102"/>
      <c r="NC4" s="102"/>
      <c r="ND4" s="102"/>
      <c r="NE4" s="102"/>
      <c r="NF4" s="102"/>
      <c r="NG4" s="102"/>
      <c r="NH4" s="102"/>
      <c r="NI4" s="102"/>
      <c r="NJ4" s="102"/>
      <c r="NK4" s="102"/>
      <c r="NL4" s="102"/>
      <c r="NM4" s="102"/>
      <c r="NN4" s="102"/>
      <c r="NO4" s="102"/>
      <c r="NP4" s="102"/>
      <c r="NQ4" s="102"/>
      <c r="NR4" s="102"/>
      <c r="NS4" s="102"/>
      <c r="NT4" s="102"/>
      <c r="NU4" s="102"/>
      <c r="NV4" s="102"/>
      <c r="NW4" s="102"/>
      <c r="NX4" s="102"/>
      <c r="NY4" s="102"/>
      <c r="NZ4" s="102"/>
      <c r="OA4" s="102"/>
      <c r="OB4" s="102"/>
      <c r="OC4" s="102"/>
      <c r="OD4" s="102"/>
      <c r="OE4" s="102"/>
      <c r="OF4" s="102"/>
      <c r="OG4" s="102"/>
      <c r="OH4" s="102"/>
      <c r="OI4" s="102"/>
      <c r="OJ4" s="102"/>
      <c r="OK4" s="102"/>
      <c r="OL4" s="102"/>
      <c r="OM4" s="102"/>
      <c r="ON4" s="102"/>
      <c r="OO4" s="102"/>
      <c r="OP4" s="102"/>
      <c r="OQ4" s="102"/>
      <c r="OR4" s="102"/>
      <c r="OS4" s="102"/>
      <c r="OT4" s="102"/>
      <c r="OU4" s="102"/>
      <c r="OV4" s="102"/>
      <c r="OW4" s="102"/>
      <c r="OX4" s="102"/>
      <c r="OY4" s="102"/>
      <c r="OZ4" s="102"/>
      <c r="PA4" s="102"/>
      <c r="PB4" s="102"/>
      <c r="PC4" s="102"/>
      <c r="PD4" s="102"/>
      <c r="PE4" s="102"/>
      <c r="PF4" s="102"/>
      <c r="PG4" s="102"/>
      <c r="PH4" s="102"/>
      <c r="PI4" s="102"/>
      <c r="PJ4" s="102"/>
      <c r="PK4" s="102"/>
      <c r="PL4" s="102"/>
      <c r="PM4" s="102"/>
      <c r="PN4" s="102"/>
      <c r="PO4" s="102"/>
      <c r="PP4" s="102"/>
      <c r="PQ4" s="102"/>
      <c r="PR4" s="102"/>
      <c r="PS4" s="102"/>
      <c r="PT4" s="102"/>
      <c r="PU4" s="102"/>
      <c r="PV4" s="102"/>
      <c r="PW4" s="102"/>
      <c r="PX4" s="102"/>
      <c r="PY4" s="102"/>
      <c r="PZ4" s="102"/>
      <c r="QA4" s="102"/>
      <c r="QB4" s="102"/>
      <c r="QC4" s="102"/>
      <c r="QD4" s="102"/>
      <c r="QE4" s="102"/>
      <c r="QF4" s="102"/>
      <c r="QG4" s="102"/>
      <c r="QH4" s="102"/>
      <c r="QI4" s="102"/>
      <c r="QJ4" s="102"/>
      <c r="QK4" s="102"/>
      <c r="QL4" s="102"/>
      <c r="QM4" s="102"/>
      <c r="QN4" s="102"/>
      <c r="QO4" s="102"/>
      <c r="QP4" s="102"/>
      <c r="QQ4" s="102"/>
      <c r="QR4" s="102"/>
      <c r="QS4" s="102"/>
      <c r="QT4" s="102"/>
      <c r="QU4" s="102"/>
      <c r="QV4" s="102"/>
      <c r="QW4" s="102"/>
      <c r="QX4" s="102"/>
      <c r="QY4" s="102"/>
      <c r="QZ4" s="102"/>
      <c r="RA4" s="102"/>
      <c r="RB4" s="102"/>
      <c r="RC4" s="102"/>
      <c r="RD4" s="102"/>
      <c r="RE4" s="102"/>
      <c r="RF4" s="102"/>
      <c r="RG4" s="102"/>
      <c r="RH4" s="102"/>
      <c r="RI4" s="102"/>
      <c r="RJ4" s="102"/>
      <c r="RK4" s="102"/>
      <c r="RL4" s="102"/>
      <c r="RM4" s="102"/>
      <c r="RN4" s="102"/>
      <c r="RO4" s="102"/>
      <c r="RP4" s="102"/>
      <c r="RQ4" s="102"/>
      <c r="RR4" s="102"/>
      <c r="RS4" s="102"/>
      <c r="RT4" s="102"/>
      <c r="RU4" s="102"/>
      <c r="RV4" s="102"/>
      <c r="RW4" s="102"/>
      <c r="RX4" s="102"/>
      <c r="RY4" s="102"/>
      <c r="RZ4" s="102"/>
      <c r="SA4" s="102"/>
      <c r="SB4" s="102"/>
      <c r="SC4" s="102"/>
    </row>
    <row r="5" spans="1:497" ht="15.75" customHeight="1" x14ac:dyDescent="0.15">
      <c r="A5" s="1"/>
      <c r="B5" s="110"/>
      <c r="C5" s="2" t="s">
        <v>88</v>
      </c>
      <c r="D5" s="106"/>
      <c r="E5" s="107"/>
      <c r="F5" s="108"/>
      <c r="G5" s="82"/>
      <c r="H5" s="133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  <c r="BM5" s="102"/>
      <c r="BN5" s="102"/>
      <c r="BO5" s="102"/>
      <c r="BP5" s="102"/>
      <c r="BQ5" s="102"/>
      <c r="BR5" s="102"/>
      <c r="BS5" s="102"/>
      <c r="BT5" s="102"/>
      <c r="BU5" s="102"/>
      <c r="BV5" s="102"/>
      <c r="BW5" s="102"/>
      <c r="BX5" s="102"/>
      <c r="BY5" s="102"/>
      <c r="BZ5" s="102"/>
      <c r="CA5" s="102"/>
      <c r="CB5" s="102"/>
      <c r="CC5" s="102"/>
      <c r="CD5" s="102"/>
      <c r="CE5" s="102"/>
      <c r="CF5" s="102"/>
      <c r="CG5" s="102"/>
      <c r="CH5" s="102"/>
      <c r="CI5" s="102"/>
      <c r="CJ5" s="102"/>
      <c r="CK5" s="102"/>
      <c r="CL5" s="102"/>
      <c r="CM5" s="102"/>
      <c r="CN5" s="102"/>
      <c r="CO5" s="102"/>
      <c r="CP5" s="102"/>
      <c r="CQ5" s="102"/>
      <c r="CR5" s="102"/>
      <c r="CS5" s="102"/>
      <c r="CT5" s="102"/>
      <c r="CU5" s="102"/>
      <c r="CV5" s="102"/>
      <c r="CW5" s="102"/>
      <c r="CX5" s="102"/>
      <c r="CY5" s="102"/>
      <c r="CZ5" s="102"/>
      <c r="DA5" s="102"/>
      <c r="DB5" s="102"/>
      <c r="DC5" s="102"/>
      <c r="DD5" s="102"/>
      <c r="DE5" s="102"/>
      <c r="DF5" s="102"/>
      <c r="DG5" s="102"/>
      <c r="DH5" s="102"/>
      <c r="DI5" s="102"/>
      <c r="DJ5" s="102"/>
      <c r="DK5" s="102"/>
      <c r="DL5" s="102"/>
      <c r="DM5" s="102"/>
      <c r="DN5" s="102"/>
      <c r="DO5" s="102"/>
      <c r="DP5" s="102"/>
      <c r="DQ5" s="102"/>
      <c r="DR5" s="102"/>
      <c r="DS5" s="102"/>
      <c r="DT5" s="102"/>
      <c r="DU5" s="102"/>
      <c r="DV5" s="102"/>
      <c r="DW5" s="102"/>
      <c r="DX5" s="102"/>
      <c r="DY5" s="102"/>
      <c r="DZ5" s="102"/>
      <c r="EA5" s="102"/>
      <c r="EB5" s="102"/>
      <c r="EC5" s="102"/>
      <c r="ED5" s="102"/>
      <c r="EE5" s="102"/>
      <c r="EF5" s="102"/>
      <c r="EG5" s="102"/>
      <c r="EH5" s="102"/>
      <c r="EI5" s="102"/>
      <c r="EJ5" s="102"/>
      <c r="EK5" s="102"/>
      <c r="EL5" s="102"/>
      <c r="EM5" s="102"/>
      <c r="EN5" s="102"/>
      <c r="EO5" s="102"/>
      <c r="EP5" s="102"/>
      <c r="EQ5" s="102"/>
      <c r="ER5" s="102"/>
      <c r="ES5" s="102"/>
      <c r="ET5" s="102"/>
      <c r="EU5" s="102"/>
      <c r="EV5" s="102"/>
      <c r="EW5" s="102"/>
      <c r="EX5" s="102"/>
      <c r="EY5" s="102"/>
      <c r="EZ5" s="102"/>
      <c r="FA5" s="102"/>
      <c r="FB5" s="102"/>
      <c r="FC5" s="102"/>
      <c r="FD5" s="102"/>
      <c r="FE5" s="102"/>
      <c r="FF5" s="102"/>
      <c r="FG5" s="102"/>
      <c r="FH5" s="102"/>
      <c r="FI5" s="102"/>
      <c r="FJ5" s="102"/>
      <c r="FK5" s="102"/>
      <c r="FL5" s="102"/>
      <c r="FM5" s="102"/>
      <c r="FN5" s="102"/>
      <c r="FO5" s="102"/>
      <c r="FP5" s="102"/>
      <c r="FQ5" s="102"/>
      <c r="FR5" s="102"/>
      <c r="FS5" s="102"/>
      <c r="FT5" s="102"/>
      <c r="FU5" s="102"/>
      <c r="FV5" s="102"/>
      <c r="FW5" s="102"/>
      <c r="FX5" s="102"/>
      <c r="FY5" s="102"/>
      <c r="FZ5" s="102"/>
      <c r="GA5" s="102"/>
      <c r="GB5" s="102"/>
      <c r="GC5" s="102"/>
      <c r="GD5" s="102"/>
      <c r="GE5" s="102"/>
      <c r="GF5" s="102"/>
      <c r="GG5" s="102"/>
      <c r="GH5" s="102"/>
      <c r="GI5" s="102"/>
      <c r="GJ5" s="102"/>
      <c r="GK5" s="102"/>
      <c r="GL5" s="102"/>
      <c r="GM5" s="102"/>
      <c r="GN5" s="102"/>
      <c r="GO5" s="102"/>
      <c r="GP5" s="102"/>
      <c r="GQ5" s="102"/>
      <c r="GR5" s="102"/>
      <c r="GS5" s="102"/>
      <c r="GT5" s="102"/>
      <c r="GU5" s="102"/>
      <c r="GV5" s="102"/>
      <c r="GW5" s="102"/>
      <c r="GX5" s="102"/>
      <c r="GY5" s="102"/>
      <c r="GZ5" s="102"/>
      <c r="HA5" s="102"/>
      <c r="HB5" s="102"/>
      <c r="HC5" s="102"/>
      <c r="HD5" s="102"/>
      <c r="HE5" s="102"/>
      <c r="HF5" s="102"/>
      <c r="HG5" s="102"/>
      <c r="HH5" s="102"/>
      <c r="HI5" s="102"/>
      <c r="HJ5" s="102"/>
      <c r="HK5" s="102"/>
      <c r="HL5" s="102"/>
      <c r="HM5" s="102"/>
      <c r="HN5" s="102"/>
      <c r="HO5" s="102"/>
      <c r="HP5" s="102"/>
      <c r="HQ5" s="102"/>
      <c r="HR5" s="102"/>
      <c r="HS5" s="102"/>
      <c r="HT5" s="102"/>
      <c r="HU5" s="102"/>
      <c r="HV5" s="102"/>
      <c r="HW5" s="102"/>
      <c r="HX5" s="102"/>
      <c r="HY5" s="102"/>
      <c r="HZ5" s="102"/>
      <c r="IA5" s="102"/>
      <c r="IB5" s="102"/>
      <c r="IC5" s="102"/>
      <c r="ID5" s="102"/>
      <c r="IE5" s="102"/>
      <c r="IF5" s="102"/>
      <c r="IG5" s="102"/>
      <c r="IH5" s="102"/>
      <c r="II5" s="102"/>
      <c r="IJ5" s="102"/>
      <c r="IK5" s="102"/>
      <c r="IL5" s="102"/>
      <c r="IM5" s="102"/>
      <c r="IN5" s="102"/>
      <c r="IO5" s="102"/>
      <c r="IP5" s="102"/>
      <c r="IQ5" s="102"/>
      <c r="IR5" s="102"/>
      <c r="IS5" s="102"/>
      <c r="IT5" s="102"/>
      <c r="IU5" s="102"/>
      <c r="IV5" s="102"/>
      <c r="IW5" s="102"/>
      <c r="IX5" s="102"/>
      <c r="IY5" s="102"/>
      <c r="IZ5" s="102"/>
      <c r="JA5" s="102"/>
      <c r="JB5" s="102"/>
      <c r="JC5" s="102"/>
      <c r="JD5" s="102"/>
      <c r="JE5" s="102"/>
      <c r="JF5" s="102"/>
      <c r="JG5" s="102"/>
      <c r="JH5" s="102"/>
      <c r="JI5" s="102"/>
      <c r="JJ5" s="102"/>
      <c r="JK5" s="102"/>
      <c r="JL5" s="102"/>
      <c r="JM5" s="102"/>
      <c r="JN5" s="102"/>
      <c r="JO5" s="102"/>
      <c r="JP5" s="102"/>
      <c r="JQ5" s="102"/>
      <c r="JR5" s="102"/>
      <c r="JS5" s="102"/>
      <c r="JT5" s="102"/>
      <c r="JU5" s="102"/>
      <c r="JV5" s="102"/>
      <c r="JW5" s="102"/>
      <c r="JX5" s="102"/>
      <c r="JY5" s="102"/>
      <c r="JZ5" s="102"/>
      <c r="KA5" s="102"/>
      <c r="KB5" s="102"/>
      <c r="KC5" s="102"/>
      <c r="KD5" s="102"/>
      <c r="KE5" s="102"/>
      <c r="KF5" s="102"/>
      <c r="KG5" s="102"/>
      <c r="KH5" s="102"/>
      <c r="KI5" s="102"/>
      <c r="KJ5" s="102"/>
      <c r="KK5" s="102"/>
      <c r="KL5" s="102"/>
      <c r="KM5" s="102"/>
      <c r="KN5" s="102"/>
      <c r="KO5" s="102"/>
      <c r="KP5" s="102"/>
      <c r="KQ5" s="102"/>
      <c r="KR5" s="102"/>
      <c r="KS5" s="102"/>
      <c r="KT5" s="102"/>
      <c r="KU5" s="102"/>
      <c r="KV5" s="102"/>
      <c r="KW5" s="102"/>
      <c r="KX5" s="102"/>
      <c r="KY5" s="102"/>
      <c r="KZ5" s="102"/>
      <c r="LA5" s="102"/>
      <c r="LB5" s="102"/>
      <c r="LC5" s="102"/>
      <c r="LD5" s="102"/>
      <c r="LE5" s="102"/>
      <c r="LF5" s="102"/>
      <c r="LG5" s="102"/>
      <c r="LH5" s="102"/>
      <c r="LI5" s="102"/>
      <c r="LJ5" s="102"/>
      <c r="LK5" s="102"/>
      <c r="LL5" s="102"/>
      <c r="LM5" s="102"/>
      <c r="LN5" s="102"/>
      <c r="LO5" s="102"/>
      <c r="LP5" s="102"/>
      <c r="LQ5" s="102"/>
      <c r="LR5" s="102"/>
      <c r="LS5" s="102"/>
      <c r="LT5" s="102"/>
      <c r="LU5" s="102"/>
      <c r="LV5" s="102"/>
      <c r="LW5" s="102"/>
      <c r="LX5" s="102"/>
      <c r="LY5" s="102"/>
      <c r="LZ5" s="102"/>
      <c r="MA5" s="102"/>
      <c r="MB5" s="102"/>
      <c r="MC5" s="102"/>
      <c r="MD5" s="102"/>
      <c r="ME5" s="102"/>
      <c r="MF5" s="102"/>
      <c r="MG5" s="102"/>
      <c r="MH5" s="102"/>
      <c r="MI5" s="102"/>
      <c r="MJ5" s="102"/>
      <c r="MK5" s="102"/>
      <c r="ML5" s="102"/>
      <c r="MM5" s="102"/>
      <c r="MN5" s="102"/>
      <c r="MO5" s="102"/>
      <c r="MP5" s="102"/>
      <c r="MQ5" s="102"/>
      <c r="MR5" s="102"/>
      <c r="MS5" s="102"/>
      <c r="MT5" s="102"/>
      <c r="MU5" s="102"/>
      <c r="MV5" s="102"/>
      <c r="MW5" s="102"/>
      <c r="MX5" s="102"/>
      <c r="MY5" s="102"/>
      <c r="MZ5" s="102"/>
      <c r="NA5" s="102"/>
      <c r="NB5" s="102"/>
      <c r="NC5" s="102"/>
      <c r="ND5" s="102"/>
      <c r="NE5" s="102"/>
      <c r="NF5" s="102"/>
      <c r="NG5" s="102"/>
      <c r="NH5" s="102"/>
      <c r="NI5" s="102"/>
      <c r="NJ5" s="102"/>
      <c r="NK5" s="102"/>
      <c r="NL5" s="102"/>
      <c r="NM5" s="102"/>
      <c r="NN5" s="102"/>
      <c r="NO5" s="102"/>
      <c r="NP5" s="102"/>
      <c r="NQ5" s="102"/>
      <c r="NR5" s="102"/>
      <c r="NS5" s="102"/>
      <c r="NT5" s="102"/>
      <c r="NU5" s="102"/>
      <c r="NV5" s="102"/>
      <c r="NW5" s="102"/>
      <c r="NX5" s="102"/>
      <c r="NY5" s="102"/>
      <c r="NZ5" s="102"/>
      <c r="OA5" s="102"/>
      <c r="OB5" s="102"/>
      <c r="OC5" s="102"/>
      <c r="OD5" s="102"/>
      <c r="OE5" s="102"/>
      <c r="OF5" s="102"/>
      <c r="OG5" s="102"/>
      <c r="OH5" s="102"/>
      <c r="OI5" s="102"/>
      <c r="OJ5" s="102"/>
      <c r="OK5" s="102"/>
      <c r="OL5" s="102"/>
      <c r="OM5" s="102"/>
      <c r="ON5" s="102"/>
      <c r="OO5" s="102"/>
      <c r="OP5" s="102"/>
      <c r="OQ5" s="102"/>
      <c r="OR5" s="102"/>
      <c r="OS5" s="102"/>
      <c r="OT5" s="102"/>
      <c r="OU5" s="102"/>
      <c r="OV5" s="102"/>
      <c r="OW5" s="102"/>
      <c r="OX5" s="102"/>
      <c r="OY5" s="102"/>
      <c r="OZ5" s="102"/>
      <c r="PA5" s="102"/>
      <c r="PB5" s="102"/>
      <c r="PC5" s="102"/>
      <c r="PD5" s="102"/>
      <c r="PE5" s="102"/>
      <c r="PF5" s="102"/>
      <c r="PG5" s="102"/>
      <c r="PH5" s="102"/>
      <c r="PI5" s="102"/>
      <c r="PJ5" s="102"/>
      <c r="PK5" s="102"/>
      <c r="PL5" s="102"/>
      <c r="PM5" s="102"/>
      <c r="PN5" s="102"/>
      <c r="PO5" s="102"/>
      <c r="PP5" s="102"/>
      <c r="PQ5" s="102"/>
      <c r="PR5" s="102"/>
      <c r="PS5" s="102"/>
      <c r="PT5" s="102"/>
      <c r="PU5" s="102"/>
      <c r="PV5" s="102"/>
      <c r="PW5" s="102"/>
      <c r="PX5" s="102"/>
      <c r="PY5" s="102"/>
      <c r="PZ5" s="102"/>
      <c r="QA5" s="102"/>
      <c r="QB5" s="102"/>
      <c r="QC5" s="102"/>
      <c r="QD5" s="102"/>
      <c r="QE5" s="102"/>
      <c r="QF5" s="102"/>
      <c r="QG5" s="102"/>
      <c r="QH5" s="102"/>
      <c r="QI5" s="102"/>
      <c r="QJ5" s="102"/>
      <c r="QK5" s="102"/>
      <c r="QL5" s="102"/>
      <c r="QM5" s="102"/>
      <c r="QN5" s="102"/>
      <c r="QO5" s="102"/>
      <c r="QP5" s="102"/>
      <c r="QQ5" s="102"/>
      <c r="QR5" s="102"/>
      <c r="QS5" s="102"/>
      <c r="QT5" s="102"/>
      <c r="QU5" s="102"/>
      <c r="QV5" s="102"/>
      <c r="QW5" s="102"/>
      <c r="QX5" s="102"/>
      <c r="QY5" s="102"/>
      <c r="QZ5" s="102"/>
      <c r="RA5" s="102"/>
      <c r="RB5" s="102"/>
      <c r="RC5" s="102"/>
      <c r="RD5" s="102"/>
      <c r="RE5" s="102"/>
      <c r="RF5" s="102"/>
      <c r="RG5" s="102"/>
      <c r="RH5" s="102"/>
      <c r="RI5" s="102"/>
      <c r="RJ5" s="102"/>
      <c r="RK5" s="102"/>
      <c r="RL5" s="102"/>
      <c r="RM5" s="102"/>
      <c r="RN5" s="102"/>
      <c r="RO5" s="102"/>
      <c r="RP5" s="102"/>
      <c r="RQ5" s="102"/>
      <c r="RR5" s="102"/>
      <c r="RS5" s="102"/>
      <c r="RT5" s="102"/>
      <c r="RU5" s="102"/>
      <c r="RV5" s="102"/>
      <c r="RW5" s="102"/>
      <c r="RX5" s="102"/>
      <c r="RY5" s="102"/>
      <c r="RZ5" s="102"/>
      <c r="SA5" s="102"/>
      <c r="SB5" s="102"/>
      <c r="SC5" s="102"/>
    </row>
    <row r="6" spans="1:497" ht="15.75" customHeight="1" x14ac:dyDescent="0.15">
      <c r="A6" s="1"/>
      <c r="B6" s="110"/>
      <c r="C6" s="2" t="s">
        <v>89</v>
      </c>
      <c r="D6" s="115">
        <f ca="1">TODAY()</f>
        <v>46265</v>
      </c>
      <c r="E6" s="107"/>
      <c r="F6" s="108"/>
      <c r="G6" s="82" t="str">
        <f>IF('Setup ⚙️'!AQ11="","Blank_Text",'Setup ⚙️'!AQ11)</f>
        <v>In Revisione</v>
      </c>
      <c r="H6" s="133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  <c r="BM6" s="102"/>
      <c r="BN6" s="102"/>
      <c r="BO6" s="102"/>
      <c r="BP6" s="102"/>
      <c r="BQ6" s="102"/>
      <c r="BR6" s="102"/>
      <c r="BS6" s="102"/>
      <c r="BT6" s="102"/>
      <c r="BU6" s="102"/>
      <c r="BV6" s="102"/>
      <c r="BW6" s="102"/>
      <c r="BX6" s="102"/>
      <c r="BY6" s="102"/>
      <c r="BZ6" s="102"/>
      <c r="CA6" s="102"/>
      <c r="CB6" s="102"/>
      <c r="CC6" s="102"/>
      <c r="CD6" s="102"/>
      <c r="CE6" s="102"/>
      <c r="CF6" s="102"/>
      <c r="CG6" s="102"/>
      <c r="CH6" s="102"/>
      <c r="CI6" s="102"/>
      <c r="CJ6" s="102"/>
      <c r="CK6" s="102"/>
      <c r="CL6" s="102"/>
      <c r="CM6" s="102"/>
      <c r="CN6" s="102"/>
      <c r="CO6" s="102"/>
      <c r="CP6" s="102"/>
      <c r="CQ6" s="102"/>
      <c r="CR6" s="102"/>
      <c r="CS6" s="102"/>
      <c r="CT6" s="102"/>
      <c r="CU6" s="102"/>
      <c r="CV6" s="102"/>
      <c r="CW6" s="102"/>
      <c r="CX6" s="102"/>
      <c r="CY6" s="102"/>
      <c r="CZ6" s="102"/>
      <c r="DA6" s="102"/>
      <c r="DB6" s="102"/>
      <c r="DC6" s="102"/>
      <c r="DD6" s="102"/>
      <c r="DE6" s="102"/>
      <c r="DF6" s="102"/>
      <c r="DG6" s="102"/>
      <c r="DH6" s="102"/>
      <c r="DI6" s="102"/>
      <c r="DJ6" s="102"/>
      <c r="DK6" s="102"/>
      <c r="DL6" s="102"/>
      <c r="DM6" s="102"/>
      <c r="DN6" s="102"/>
      <c r="DO6" s="102"/>
      <c r="DP6" s="102"/>
      <c r="DQ6" s="102"/>
      <c r="DR6" s="102"/>
      <c r="DS6" s="102"/>
      <c r="DT6" s="102"/>
      <c r="DU6" s="102"/>
      <c r="DV6" s="102"/>
      <c r="DW6" s="102"/>
      <c r="DX6" s="102"/>
      <c r="DY6" s="102"/>
      <c r="DZ6" s="102"/>
      <c r="EA6" s="102"/>
      <c r="EB6" s="102"/>
      <c r="EC6" s="102"/>
      <c r="ED6" s="102"/>
      <c r="EE6" s="102"/>
      <c r="EF6" s="102"/>
      <c r="EG6" s="102"/>
      <c r="EH6" s="102"/>
      <c r="EI6" s="102"/>
      <c r="EJ6" s="102"/>
      <c r="EK6" s="102"/>
      <c r="EL6" s="102"/>
      <c r="EM6" s="102"/>
      <c r="EN6" s="102"/>
      <c r="EO6" s="102"/>
      <c r="EP6" s="102"/>
      <c r="EQ6" s="102"/>
      <c r="ER6" s="102"/>
      <c r="ES6" s="102"/>
      <c r="ET6" s="102"/>
      <c r="EU6" s="102"/>
      <c r="EV6" s="102"/>
      <c r="EW6" s="102"/>
      <c r="EX6" s="102"/>
      <c r="EY6" s="102"/>
      <c r="EZ6" s="102"/>
      <c r="FA6" s="102"/>
      <c r="FB6" s="102"/>
      <c r="FC6" s="102"/>
      <c r="FD6" s="102"/>
      <c r="FE6" s="102"/>
      <c r="FF6" s="102"/>
      <c r="FG6" s="102"/>
      <c r="FH6" s="102"/>
      <c r="FI6" s="102"/>
      <c r="FJ6" s="102"/>
      <c r="FK6" s="102"/>
      <c r="FL6" s="102"/>
      <c r="FM6" s="102"/>
      <c r="FN6" s="102"/>
      <c r="FO6" s="102"/>
      <c r="FP6" s="102"/>
      <c r="FQ6" s="102"/>
      <c r="FR6" s="102"/>
      <c r="FS6" s="102"/>
      <c r="FT6" s="102"/>
      <c r="FU6" s="102"/>
      <c r="FV6" s="102"/>
      <c r="FW6" s="102"/>
      <c r="FX6" s="102"/>
      <c r="FY6" s="102"/>
      <c r="FZ6" s="102"/>
      <c r="GA6" s="102"/>
      <c r="GB6" s="102"/>
      <c r="GC6" s="102"/>
      <c r="GD6" s="102"/>
      <c r="GE6" s="102"/>
      <c r="GF6" s="102"/>
      <c r="GG6" s="102"/>
      <c r="GH6" s="102"/>
      <c r="GI6" s="102"/>
      <c r="GJ6" s="102"/>
      <c r="GK6" s="102"/>
      <c r="GL6" s="102"/>
      <c r="GM6" s="102"/>
      <c r="GN6" s="102"/>
      <c r="GO6" s="102"/>
      <c r="GP6" s="102"/>
      <c r="GQ6" s="102"/>
      <c r="GR6" s="102"/>
      <c r="GS6" s="102"/>
      <c r="GT6" s="102"/>
      <c r="GU6" s="102"/>
      <c r="GV6" s="102"/>
      <c r="GW6" s="102"/>
      <c r="GX6" s="102"/>
      <c r="GY6" s="102"/>
      <c r="GZ6" s="102"/>
      <c r="HA6" s="102"/>
      <c r="HB6" s="102"/>
      <c r="HC6" s="102"/>
      <c r="HD6" s="102"/>
      <c r="HE6" s="102"/>
      <c r="HF6" s="102"/>
      <c r="HG6" s="102"/>
      <c r="HH6" s="102"/>
      <c r="HI6" s="102"/>
      <c r="HJ6" s="102"/>
      <c r="HK6" s="102"/>
      <c r="HL6" s="102"/>
      <c r="HM6" s="102"/>
      <c r="HN6" s="102"/>
      <c r="HO6" s="102"/>
      <c r="HP6" s="102"/>
      <c r="HQ6" s="102"/>
      <c r="HR6" s="102"/>
      <c r="HS6" s="102"/>
      <c r="HT6" s="102"/>
      <c r="HU6" s="102"/>
      <c r="HV6" s="102"/>
      <c r="HW6" s="102"/>
      <c r="HX6" s="102"/>
      <c r="HY6" s="102"/>
      <c r="HZ6" s="102"/>
      <c r="IA6" s="102"/>
      <c r="IB6" s="102"/>
      <c r="IC6" s="102"/>
      <c r="ID6" s="102"/>
      <c r="IE6" s="102"/>
      <c r="IF6" s="102"/>
      <c r="IG6" s="102"/>
      <c r="IH6" s="102"/>
      <c r="II6" s="102"/>
      <c r="IJ6" s="102"/>
      <c r="IK6" s="102"/>
      <c r="IL6" s="102"/>
      <c r="IM6" s="102"/>
      <c r="IN6" s="102"/>
      <c r="IO6" s="102"/>
      <c r="IP6" s="102"/>
      <c r="IQ6" s="102"/>
      <c r="IR6" s="102"/>
      <c r="IS6" s="102"/>
      <c r="IT6" s="102"/>
      <c r="IU6" s="102"/>
      <c r="IV6" s="102"/>
      <c r="IW6" s="102"/>
      <c r="IX6" s="102"/>
      <c r="IY6" s="102"/>
      <c r="IZ6" s="102"/>
      <c r="JA6" s="102"/>
      <c r="JB6" s="102"/>
      <c r="JC6" s="102"/>
      <c r="JD6" s="102"/>
      <c r="JE6" s="102"/>
      <c r="JF6" s="102"/>
      <c r="JG6" s="102"/>
      <c r="JH6" s="102"/>
      <c r="JI6" s="102"/>
      <c r="JJ6" s="102"/>
      <c r="JK6" s="102"/>
      <c r="JL6" s="102"/>
      <c r="JM6" s="102"/>
      <c r="JN6" s="102"/>
      <c r="JO6" s="102"/>
      <c r="JP6" s="102"/>
      <c r="JQ6" s="102"/>
      <c r="JR6" s="102"/>
      <c r="JS6" s="102"/>
      <c r="JT6" s="102"/>
      <c r="JU6" s="102"/>
      <c r="JV6" s="102"/>
      <c r="JW6" s="102"/>
      <c r="JX6" s="102"/>
      <c r="JY6" s="102"/>
      <c r="JZ6" s="102"/>
      <c r="KA6" s="102"/>
      <c r="KB6" s="102"/>
      <c r="KC6" s="102"/>
      <c r="KD6" s="102"/>
      <c r="KE6" s="102"/>
      <c r="KF6" s="102"/>
      <c r="KG6" s="102"/>
      <c r="KH6" s="102"/>
      <c r="KI6" s="102"/>
      <c r="KJ6" s="102"/>
      <c r="KK6" s="102"/>
      <c r="KL6" s="102"/>
      <c r="KM6" s="102"/>
      <c r="KN6" s="102"/>
      <c r="KO6" s="102"/>
      <c r="KP6" s="102"/>
      <c r="KQ6" s="102"/>
      <c r="KR6" s="102"/>
      <c r="KS6" s="102"/>
      <c r="KT6" s="102"/>
      <c r="KU6" s="102"/>
      <c r="KV6" s="102"/>
      <c r="KW6" s="102"/>
      <c r="KX6" s="102"/>
      <c r="KY6" s="102"/>
      <c r="KZ6" s="102"/>
      <c r="LA6" s="102"/>
      <c r="LB6" s="102"/>
      <c r="LC6" s="102"/>
      <c r="LD6" s="102"/>
      <c r="LE6" s="102"/>
      <c r="LF6" s="102"/>
      <c r="LG6" s="102"/>
      <c r="LH6" s="102"/>
      <c r="LI6" s="102"/>
      <c r="LJ6" s="102"/>
      <c r="LK6" s="102"/>
      <c r="LL6" s="102"/>
      <c r="LM6" s="102"/>
      <c r="LN6" s="102"/>
      <c r="LO6" s="102"/>
      <c r="LP6" s="102"/>
      <c r="LQ6" s="102"/>
      <c r="LR6" s="102"/>
      <c r="LS6" s="102"/>
      <c r="LT6" s="102"/>
      <c r="LU6" s="102"/>
      <c r="LV6" s="102"/>
      <c r="LW6" s="102"/>
      <c r="LX6" s="102"/>
      <c r="LY6" s="102"/>
      <c r="LZ6" s="102"/>
      <c r="MA6" s="102"/>
      <c r="MB6" s="102"/>
      <c r="MC6" s="102"/>
      <c r="MD6" s="102"/>
      <c r="ME6" s="102"/>
      <c r="MF6" s="102"/>
      <c r="MG6" s="102"/>
      <c r="MH6" s="102"/>
      <c r="MI6" s="102"/>
      <c r="MJ6" s="102"/>
      <c r="MK6" s="102"/>
      <c r="ML6" s="102"/>
      <c r="MM6" s="102"/>
      <c r="MN6" s="102"/>
      <c r="MO6" s="102"/>
      <c r="MP6" s="102"/>
      <c r="MQ6" s="102"/>
      <c r="MR6" s="102"/>
      <c r="MS6" s="102"/>
      <c r="MT6" s="102"/>
      <c r="MU6" s="102"/>
      <c r="MV6" s="102"/>
      <c r="MW6" s="102"/>
      <c r="MX6" s="102"/>
      <c r="MY6" s="102"/>
      <c r="MZ6" s="102"/>
      <c r="NA6" s="102"/>
      <c r="NB6" s="102"/>
      <c r="NC6" s="102"/>
      <c r="ND6" s="102"/>
      <c r="NE6" s="102"/>
      <c r="NF6" s="102"/>
      <c r="NG6" s="102"/>
      <c r="NH6" s="102"/>
      <c r="NI6" s="102"/>
      <c r="NJ6" s="102"/>
      <c r="NK6" s="102"/>
      <c r="NL6" s="102"/>
      <c r="NM6" s="102"/>
      <c r="NN6" s="102"/>
      <c r="NO6" s="102"/>
      <c r="NP6" s="102"/>
      <c r="NQ6" s="102"/>
      <c r="NR6" s="102"/>
      <c r="NS6" s="102"/>
      <c r="NT6" s="102"/>
      <c r="NU6" s="102"/>
      <c r="NV6" s="102"/>
      <c r="NW6" s="102"/>
      <c r="NX6" s="102"/>
      <c r="NY6" s="102"/>
      <c r="NZ6" s="102"/>
      <c r="OA6" s="102"/>
      <c r="OB6" s="102"/>
      <c r="OC6" s="102"/>
      <c r="OD6" s="102"/>
      <c r="OE6" s="102"/>
      <c r="OF6" s="102"/>
      <c r="OG6" s="102"/>
      <c r="OH6" s="102"/>
      <c r="OI6" s="102"/>
      <c r="OJ6" s="102"/>
      <c r="OK6" s="102"/>
      <c r="OL6" s="102"/>
      <c r="OM6" s="102"/>
      <c r="ON6" s="102"/>
      <c r="OO6" s="102"/>
      <c r="OP6" s="102"/>
      <c r="OQ6" s="102"/>
      <c r="OR6" s="102"/>
      <c r="OS6" s="102"/>
      <c r="OT6" s="102"/>
      <c r="OU6" s="102"/>
      <c r="OV6" s="102"/>
      <c r="OW6" s="102"/>
      <c r="OX6" s="102"/>
      <c r="OY6" s="102"/>
      <c r="OZ6" s="102"/>
      <c r="PA6" s="102"/>
      <c r="PB6" s="102"/>
      <c r="PC6" s="102"/>
      <c r="PD6" s="102"/>
      <c r="PE6" s="102"/>
      <c r="PF6" s="102"/>
      <c r="PG6" s="102"/>
      <c r="PH6" s="102"/>
      <c r="PI6" s="102"/>
      <c r="PJ6" s="102"/>
      <c r="PK6" s="102"/>
      <c r="PL6" s="102"/>
      <c r="PM6" s="102"/>
      <c r="PN6" s="102"/>
      <c r="PO6" s="102"/>
      <c r="PP6" s="102"/>
      <c r="PQ6" s="102"/>
      <c r="PR6" s="102"/>
      <c r="PS6" s="102"/>
      <c r="PT6" s="102"/>
      <c r="PU6" s="102"/>
      <c r="PV6" s="102"/>
      <c r="PW6" s="102"/>
      <c r="PX6" s="102"/>
      <c r="PY6" s="102"/>
      <c r="PZ6" s="102"/>
      <c r="QA6" s="102"/>
      <c r="QB6" s="102"/>
      <c r="QC6" s="102"/>
      <c r="QD6" s="102"/>
      <c r="QE6" s="102"/>
      <c r="QF6" s="102"/>
      <c r="QG6" s="102"/>
      <c r="QH6" s="102"/>
      <c r="QI6" s="102"/>
      <c r="QJ6" s="102"/>
      <c r="QK6" s="102"/>
      <c r="QL6" s="102"/>
      <c r="QM6" s="102"/>
      <c r="QN6" s="102"/>
      <c r="QO6" s="102"/>
      <c r="QP6" s="102"/>
      <c r="QQ6" s="102"/>
      <c r="QR6" s="102"/>
      <c r="QS6" s="102"/>
      <c r="QT6" s="102"/>
      <c r="QU6" s="102"/>
      <c r="QV6" s="102"/>
      <c r="QW6" s="102"/>
      <c r="QX6" s="102"/>
      <c r="QY6" s="102"/>
      <c r="QZ6" s="102"/>
      <c r="RA6" s="102"/>
      <c r="RB6" s="102"/>
      <c r="RC6" s="102"/>
      <c r="RD6" s="102"/>
      <c r="RE6" s="102"/>
      <c r="RF6" s="102"/>
      <c r="RG6" s="102"/>
      <c r="RH6" s="102"/>
      <c r="RI6" s="102"/>
      <c r="RJ6" s="102"/>
      <c r="RK6" s="102"/>
      <c r="RL6" s="102"/>
      <c r="RM6" s="102"/>
      <c r="RN6" s="102"/>
      <c r="RO6" s="102"/>
      <c r="RP6" s="102"/>
      <c r="RQ6" s="102"/>
      <c r="RR6" s="102"/>
      <c r="RS6" s="102"/>
      <c r="RT6" s="102"/>
      <c r="RU6" s="102"/>
      <c r="RV6" s="102"/>
      <c r="RW6" s="102"/>
      <c r="RX6" s="102"/>
      <c r="RY6" s="102"/>
      <c r="RZ6" s="102"/>
      <c r="SA6" s="102"/>
      <c r="SB6" s="102"/>
      <c r="SC6" s="102"/>
    </row>
    <row r="7" spans="1:497" ht="15.75" customHeight="1" x14ac:dyDescent="0.15">
      <c r="A7" s="1"/>
      <c r="B7" s="110"/>
      <c r="C7" s="3"/>
      <c r="E7" s="71"/>
      <c r="G7" s="83"/>
      <c r="H7" s="134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3"/>
      <c r="BN7" s="103"/>
      <c r="BO7" s="103"/>
      <c r="BP7" s="103"/>
      <c r="BQ7" s="103"/>
      <c r="BR7" s="103"/>
      <c r="BS7" s="103"/>
      <c r="BT7" s="103"/>
      <c r="BU7" s="103"/>
      <c r="BV7" s="103"/>
      <c r="BW7" s="103"/>
      <c r="BX7" s="103"/>
      <c r="BY7" s="103"/>
      <c r="BZ7" s="103"/>
      <c r="CA7" s="103"/>
      <c r="CB7" s="103"/>
      <c r="CC7" s="103"/>
      <c r="CD7" s="103"/>
      <c r="CE7" s="103"/>
      <c r="CF7" s="103"/>
      <c r="CG7" s="103"/>
      <c r="CH7" s="103"/>
      <c r="CI7" s="103"/>
      <c r="CJ7" s="103"/>
      <c r="CK7" s="103"/>
      <c r="CL7" s="103"/>
      <c r="CM7" s="103"/>
      <c r="CN7" s="103"/>
      <c r="CO7" s="103"/>
      <c r="CP7" s="103"/>
      <c r="CQ7" s="103"/>
      <c r="CR7" s="103"/>
      <c r="CS7" s="103"/>
      <c r="CT7" s="103"/>
      <c r="CU7" s="103"/>
      <c r="CV7" s="103"/>
      <c r="CW7" s="103"/>
      <c r="CX7" s="103"/>
      <c r="CY7" s="103"/>
      <c r="CZ7" s="103"/>
      <c r="DA7" s="103"/>
      <c r="DB7" s="103"/>
      <c r="DC7" s="103"/>
      <c r="DD7" s="103"/>
      <c r="DE7" s="103"/>
      <c r="DF7" s="103"/>
      <c r="DG7" s="103"/>
      <c r="DH7" s="103"/>
      <c r="DI7" s="103"/>
      <c r="DJ7" s="103"/>
      <c r="DK7" s="103"/>
      <c r="DL7" s="103"/>
      <c r="DM7" s="103"/>
      <c r="DN7" s="103"/>
      <c r="DO7" s="103"/>
      <c r="DP7" s="103"/>
      <c r="DQ7" s="103"/>
      <c r="DR7" s="103"/>
      <c r="DS7" s="103"/>
      <c r="DT7" s="103"/>
      <c r="DU7" s="103"/>
      <c r="DV7" s="103"/>
      <c r="DW7" s="103"/>
      <c r="DX7" s="103"/>
      <c r="DY7" s="103"/>
      <c r="DZ7" s="103"/>
      <c r="EA7" s="103"/>
      <c r="EB7" s="103"/>
      <c r="EC7" s="103"/>
      <c r="ED7" s="103"/>
      <c r="EE7" s="103"/>
      <c r="EF7" s="103"/>
      <c r="EG7" s="103"/>
      <c r="EH7" s="103"/>
      <c r="EI7" s="103"/>
      <c r="EJ7" s="103"/>
      <c r="EK7" s="103"/>
      <c r="EL7" s="103"/>
      <c r="EM7" s="103"/>
      <c r="EN7" s="103"/>
      <c r="EO7" s="103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3"/>
      <c r="FN7" s="103"/>
      <c r="FO7" s="103"/>
      <c r="FP7" s="103"/>
      <c r="FQ7" s="103"/>
      <c r="FR7" s="103"/>
      <c r="FS7" s="103"/>
      <c r="FT7" s="103"/>
      <c r="FU7" s="103"/>
      <c r="FV7" s="103"/>
      <c r="FW7" s="103"/>
      <c r="FX7" s="103"/>
      <c r="FY7" s="103"/>
      <c r="FZ7" s="103"/>
      <c r="GA7" s="103"/>
      <c r="GB7" s="103"/>
      <c r="GC7" s="103"/>
      <c r="GD7" s="103"/>
      <c r="GE7" s="103"/>
      <c r="GF7" s="103"/>
      <c r="GG7" s="103"/>
      <c r="GH7" s="103"/>
      <c r="GI7" s="103"/>
      <c r="GJ7" s="103"/>
      <c r="GK7" s="103"/>
      <c r="GL7" s="103"/>
      <c r="GM7" s="103"/>
      <c r="GN7" s="103"/>
      <c r="GO7" s="103"/>
      <c r="GP7" s="103"/>
      <c r="GQ7" s="103"/>
      <c r="GR7" s="103"/>
      <c r="GS7" s="103"/>
      <c r="GT7" s="103"/>
      <c r="GU7" s="103"/>
      <c r="GV7" s="103"/>
      <c r="GW7" s="103"/>
      <c r="GX7" s="103"/>
      <c r="GY7" s="103"/>
      <c r="GZ7" s="103"/>
      <c r="HA7" s="103"/>
      <c r="HB7" s="103"/>
      <c r="HC7" s="103"/>
      <c r="HD7" s="103"/>
      <c r="HE7" s="103"/>
      <c r="HF7" s="103"/>
      <c r="HG7" s="103"/>
      <c r="HH7" s="103"/>
      <c r="HI7" s="103"/>
      <c r="HJ7" s="103"/>
      <c r="HK7" s="103"/>
      <c r="HL7" s="103"/>
      <c r="HM7" s="103"/>
      <c r="HN7" s="103"/>
      <c r="HO7" s="103"/>
      <c r="HP7" s="103"/>
      <c r="HQ7" s="103"/>
      <c r="HR7" s="103"/>
      <c r="HS7" s="103"/>
      <c r="HT7" s="103"/>
      <c r="HU7" s="103"/>
      <c r="HV7" s="103"/>
      <c r="HW7" s="103"/>
      <c r="HX7" s="103"/>
      <c r="HY7" s="103"/>
      <c r="HZ7" s="103"/>
      <c r="IA7" s="103"/>
      <c r="IB7" s="103"/>
      <c r="IC7" s="103"/>
      <c r="ID7" s="103"/>
      <c r="IE7" s="103"/>
      <c r="IF7" s="103"/>
      <c r="IG7" s="103"/>
      <c r="IH7" s="103"/>
      <c r="II7" s="103"/>
      <c r="IJ7" s="103"/>
      <c r="IK7" s="103"/>
      <c r="IL7" s="103"/>
      <c r="IM7" s="103"/>
      <c r="IN7" s="103"/>
      <c r="IO7" s="103"/>
      <c r="IP7" s="103"/>
      <c r="IQ7" s="103"/>
      <c r="IR7" s="103"/>
      <c r="IS7" s="103"/>
      <c r="IT7" s="103"/>
      <c r="IU7" s="103"/>
      <c r="IV7" s="103"/>
      <c r="IW7" s="103"/>
      <c r="IX7" s="103"/>
      <c r="IY7" s="103"/>
      <c r="IZ7" s="103"/>
      <c r="JA7" s="103"/>
      <c r="JB7" s="103"/>
      <c r="JC7" s="103"/>
      <c r="JD7" s="103"/>
      <c r="JE7" s="103"/>
      <c r="JF7" s="103"/>
      <c r="JG7" s="103"/>
      <c r="JH7" s="103"/>
      <c r="JI7" s="103"/>
      <c r="JJ7" s="103"/>
      <c r="JK7" s="103"/>
      <c r="JL7" s="103"/>
      <c r="JM7" s="103"/>
      <c r="JN7" s="103"/>
      <c r="JO7" s="103"/>
      <c r="JP7" s="103"/>
      <c r="JQ7" s="103"/>
      <c r="JR7" s="103"/>
      <c r="JS7" s="103"/>
      <c r="JT7" s="103"/>
      <c r="JU7" s="103"/>
      <c r="JV7" s="103"/>
      <c r="JW7" s="103"/>
      <c r="JX7" s="103"/>
      <c r="JY7" s="103"/>
      <c r="JZ7" s="103"/>
      <c r="KA7" s="103"/>
      <c r="KB7" s="103"/>
      <c r="KC7" s="103"/>
      <c r="KD7" s="103"/>
      <c r="KE7" s="103"/>
      <c r="KF7" s="103"/>
      <c r="KG7" s="103"/>
      <c r="KH7" s="103"/>
      <c r="KI7" s="103"/>
      <c r="KJ7" s="103"/>
      <c r="KK7" s="103"/>
      <c r="KL7" s="103"/>
      <c r="KM7" s="103"/>
      <c r="KN7" s="103"/>
      <c r="KO7" s="103"/>
      <c r="KP7" s="103"/>
      <c r="KQ7" s="103"/>
      <c r="KR7" s="103"/>
      <c r="KS7" s="103"/>
      <c r="KT7" s="103"/>
      <c r="KU7" s="103"/>
      <c r="KV7" s="103"/>
      <c r="KW7" s="103"/>
      <c r="KX7" s="103"/>
      <c r="KY7" s="103"/>
      <c r="KZ7" s="103"/>
      <c r="LA7" s="103"/>
      <c r="LB7" s="103"/>
      <c r="LC7" s="103"/>
      <c r="LD7" s="103"/>
      <c r="LE7" s="103"/>
      <c r="LF7" s="103"/>
      <c r="LG7" s="103"/>
      <c r="LH7" s="103"/>
      <c r="LI7" s="103"/>
      <c r="LJ7" s="103"/>
      <c r="LK7" s="103"/>
      <c r="LL7" s="103"/>
      <c r="LM7" s="103"/>
      <c r="LN7" s="103"/>
      <c r="LO7" s="103"/>
      <c r="LP7" s="103"/>
      <c r="LQ7" s="103"/>
      <c r="LR7" s="103"/>
      <c r="LS7" s="103"/>
      <c r="LT7" s="103"/>
      <c r="LU7" s="103"/>
      <c r="LV7" s="103"/>
      <c r="LW7" s="103"/>
      <c r="LX7" s="103"/>
      <c r="LY7" s="103"/>
      <c r="LZ7" s="103"/>
      <c r="MA7" s="103"/>
      <c r="MB7" s="103"/>
      <c r="MC7" s="103"/>
      <c r="MD7" s="103"/>
      <c r="ME7" s="103"/>
      <c r="MF7" s="103"/>
      <c r="MG7" s="103"/>
      <c r="MH7" s="103"/>
      <c r="MI7" s="103"/>
      <c r="MJ7" s="103"/>
      <c r="MK7" s="103"/>
      <c r="ML7" s="103"/>
      <c r="MM7" s="103"/>
      <c r="MN7" s="103"/>
      <c r="MO7" s="103"/>
      <c r="MP7" s="103"/>
      <c r="MQ7" s="103"/>
      <c r="MR7" s="103"/>
      <c r="MS7" s="103"/>
      <c r="MT7" s="103"/>
      <c r="MU7" s="103"/>
      <c r="MV7" s="103"/>
      <c r="MW7" s="103"/>
      <c r="MX7" s="103"/>
      <c r="MY7" s="103"/>
      <c r="MZ7" s="103"/>
      <c r="NA7" s="103"/>
      <c r="NB7" s="103"/>
      <c r="NC7" s="103"/>
      <c r="ND7" s="103"/>
      <c r="NE7" s="103"/>
      <c r="NF7" s="103"/>
      <c r="NG7" s="103"/>
      <c r="NH7" s="103"/>
      <c r="NI7" s="103"/>
      <c r="NJ7" s="103"/>
      <c r="NK7" s="103"/>
      <c r="NL7" s="103"/>
      <c r="NM7" s="103"/>
      <c r="NN7" s="103"/>
      <c r="NO7" s="103"/>
      <c r="NP7" s="103"/>
      <c r="NQ7" s="103"/>
      <c r="NR7" s="103"/>
      <c r="NS7" s="103"/>
      <c r="NT7" s="103"/>
      <c r="NU7" s="103"/>
      <c r="NV7" s="103"/>
      <c r="NW7" s="103"/>
      <c r="NX7" s="103"/>
      <c r="NY7" s="103"/>
      <c r="NZ7" s="103"/>
      <c r="OA7" s="103"/>
      <c r="OB7" s="103"/>
      <c r="OC7" s="103"/>
      <c r="OD7" s="103"/>
      <c r="OE7" s="103"/>
      <c r="OF7" s="103"/>
      <c r="OG7" s="103"/>
      <c r="OH7" s="103"/>
      <c r="OI7" s="103"/>
      <c r="OJ7" s="103"/>
      <c r="OK7" s="103"/>
      <c r="OL7" s="103"/>
      <c r="OM7" s="103"/>
      <c r="ON7" s="103"/>
      <c r="OO7" s="103"/>
      <c r="OP7" s="103"/>
      <c r="OQ7" s="103"/>
      <c r="OR7" s="103"/>
      <c r="OS7" s="103"/>
      <c r="OT7" s="103"/>
      <c r="OU7" s="103"/>
      <c r="OV7" s="103"/>
      <c r="OW7" s="103"/>
      <c r="OX7" s="103"/>
      <c r="OY7" s="103"/>
      <c r="OZ7" s="103"/>
      <c r="PA7" s="103"/>
      <c r="PB7" s="103"/>
      <c r="PC7" s="103"/>
      <c r="PD7" s="103"/>
      <c r="PE7" s="103"/>
      <c r="PF7" s="103"/>
      <c r="PG7" s="103"/>
      <c r="PH7" s="103"/>
      <c r="PI7" s="103"/>
      <c r="PJ7" s="103"/>
      <c r="PK7" s="103"/>
      <c r="PL7" s="103"/>
      <c r="PM7" s="103"/>
      <c r="PN7" s="103"/>
      <c r="PO7" s="103"/>
      <c r="PP7" s="103"/>
      <c r="PQ7" s="103"/>
      <c r="PR7" s="103"/>
      <c r="PS7" s="103"/>
      <c r="PT7" s="103"/>
      <c r="PU7" s="103"/>
      <c r="PV7" s="103"/>
      <c r="PW7" s="103"/>
      <c r="PX7" s="103"/>
      <c r="PY7" s="103"/>
      <c r="PZ7" s="103"/>
      <c r="QA7" s="103"/>
      <c r="QB7" s="103"/>
      <c r="QC7" s="103"/>
      <c r="QD7" s="103"/>
      <c r="QE7" s="103"/>
      <c r="QF7" s="103"/>
      <c r="QG7" s="103"/>
      <c r="QH7" s="103"/>
      <c r="QI7" s="103"/>
      <c r="QJ7" s="103"/>
      <c r="QK7" s="103"/>
      <c r="QL7" s="103"/>
      <c r="QM7" s="103"/>
      <c r="QN7" s="103"/>
      <c r="QO7" s="103"/>
      <c r="QP7" s="103"/>
      <c r="QQ7" s="103"/>
      <c r="QR7" s="103"/>
      <c r="QS7" s="103"/>
      <c r="QT7" s="103"/>
      <c r="QU7" s="103"/>
      <c r="QV7" s="103"/>
      <c r="QW7" s="103"/>
      <c r="QX7" s="103"/>
      <c r="QY7" s="103"/>
      <c r="QZ7" s="103"/>
      <c r="RA7" s="103"/>
      <c r="RB7" s="103"/>
      <c r="RC7" s="103"/>
      <c r="RD7" s="103"/>
      <c r="RE7" s="103"/>
      <c r="RF7" s="103"/>
      <c r="RG7" s="103"/>
      <c r="RH7" s="103"/>
      <c r="RI7" s="103"/>
      <c r="RJ7" s="103"/>
      <c r="RK7" s="103"/>
      <c r="RL7" s="103"/>
      <c r="RM7" s="103"/>
      <c r="RN7" s="103"/>
      <c r="RO7" s="103"/>
      <c r="RP7" s="103"/>
      <c r="RQ7" s="103"/>
      <c r="RR7" s="103"/>
      <c r="RS7" s="103"/>
      <c r="RT7" s="103"/>
      <c r="RU7" s="103"/>
      <c r="RV7" s="103"/>
      <c r="RW7" s="103"/>
      <c r="RX7" s="103"/>
      <c r="RY7" s="103"/>
      <c r="RZ7" s="103"/>
      <c r="SA7" s="103"/>
      <c r="SB7" s="103"/>
      <c r="SC7" s="103"/>
    </row>
    <row r="8" spans="1:497" ht="20.25" customHeight="1" x14ac:dyDescent="0.15">
      <c r="A8" s="1"/>
      <c r="B8" s="1"/>
      <c r="C8" s="3"/>
      <c r="D8" s="4"/>
      <c r="E8" s="5"/>
      <c r="F8" s="84"/>
      <c r="G8" s="85"/>
      <c r="H8" s="76">
        <f>H9</f>
        <v>0</v>
      </c>
      <c r="I8" s="6">
        <f>I9</f>
        <v>2</v>
      </c>
      <c r="J8" s="6">
        <f t="shared" ref="J8:JB8" si="2">J9</f>
        <v>3</v>
      </c>
      <c r="K8" s="6">
        <f>K9</f>
        <v>4</v>
      </c>
      <c r="L8" s="6">
        <f t="shared" si="2"/>
        <v>5</v>
      </c>
      <c r="M8" s="6">
        <f t="shared" si="2"/>
        <v>6</v>
      </c>
      <c r="N8" s="6">
        <f t="shared" si="2"/>
        <v>9</v>
      </c>
      <c r="O8" s="6">
        <f t="shared" si="2"/>
        <v>10</v>
      </c>
      <c r="P8" s="6">
        <f t="shared" si="2"/>
        <v>11</v>
      </c>
      <c r="Q8" s="6">
        <f t="shared" si="2"/>
        <v>12</v>
      </c>
      <c r="R8" s="6">
        <f t="shared" si="2"/>
        <v>13</v>
      </c>
      <c r="S8" s="6">
        <f t="shared" si="2"/>
        <v>16</v>
      </c>
      <c r="T8" s="6">
        <f t="shared" si="2"/>
        <v>17</v>
      </c>
      <c r="U8" s="6">
        <f t="shared" si="2"/>
        <v>18</v>
      </c>
      <c r="V8" s="6">
        <f t="shared" si="2"/>
        <v>19</v>
      </c>
      <c r="W8" s="6">
        <f t="shared" si="2"/>
        <v>20</v>
      </c>
      <c r="X8" s="6">
        <f t="shared" si="2"/>
        <v>23</v>
      </c>
      <c r="Y8" s="6">
        <f t="shared" si="2"/>
        <v>24</v>
      </c>
      <c r="Z8" s="6">
        <f t="shared" si="2"/>
        <v>25</v>
      </c>
      <c r="AA8" s="6">
        <f t="shared" si="2"/>
        <v>26</v>
      </c>
      <c r="AB8" s="6">
        <f t="shared" si="2"/>
        <v>27</v>
      </c>
      <c r="AC8" s="6">
        <f t="shared" si="2"/>
        <v>30</v>
      </c>
      <c r="AD8" s="6">
        <f t="shared" si="2"/>
        <v>31</v>
      </c>
      <c r="AE8" s="6">
        <f t="shared" si="2"/>
        <v>32</v>
      </c>
      <c r="AF8" s="6">
        <f t="shared" si="2"/>
        <v>33</v>
      </c>
      <c r="AG8" s="6">
        <f t="shared" si="2"/>
        <v>34</v>
      </c>
      <c r="AH8" s="6">
        <f t="shared" si="2"/>
        <v>37</v>
      </c>
      <c r="AI8" s="6">
        <f t="shared" si="2"/>
        <v>38</v>
      </c>
      <c r="AJ8" s="6">
        <f t="shared" si="2"/>
        <v>39</v>
      </c>
      <c r="AK8" s="6">
        <f t="shared" si="2"/>
        <v>40</v>
      </c>
      <c r="AL8" s="6">
        <f t="shared" si="2"/>
        <v>41</v>
      </c>
      <c r="AM8" s="6">
        <f t="shared" si="2"/>
        <v>44</v>
      </c>
      <c r="AN8" s="6">
        <f t="shared" si="2"/>
        <v>45</v>
      </c>
      <c r="AO8" s="6">
        <f t="shared" si="2"/>
        <v>46</v>
      </c>
      <c r="AP8" s="6">
        <f t="shared" si="2"/>
        <v>47</v>
      </c>
      <c r="AQ8" s="6">
        <f t="shared" si="2"/>
        <v>48</v>
      </c>
      <c r="AR8" s="6">
        <f t="shared" si="2"/>
        <v>51</v>
      </c>
      <c r="AS8" s="6">
        <f t="shared" si="2"/>
        <v>52</v>
      </c>
      <c r="AT8" s="6">
        <f t="shared" si="2"/>
        <v>53</v>
      </c>
      <c r="AU8" s="6">
        <f t="shared" si="2"/>
        <v>54</v>
      </c>
      <c r="AV8" s="6">
        <f t="shared" si="2"/>
        <v>55</v>
      </c>
      <c r="AW8" s="6">
        <f t="shared" si="2"/>
        <v>58</v>
      </c>
      <c r="AX8" s="6">
        <f t="shared" si="2"/>
        <v>59</v>
      </c>
      <c r="AY8" s="6">
        <f t="shared" si="2"/>
        <v>60</v>
      </c>
      <c r="AZ8" s="6">
        <f t="shared" si="2"/>
        <v>61</v>
      </c>
      <c r="BA8" s="6">
        <f t="shared" si="2"/>
        <v>62</v>
      </c>
      <c r="BB8" s="6">
        <f t="shared" si="2"/>
        <v>65</v>
      </c>
      <c r="BC8" s="6">
        <f t="shared" si="2"/>
        <v>66</v>
      </c>
      <c r="BD8" s="6">
        <f t="shared" si="2"/>
        <v>67</v>
      </c>
      <c r="BE8" s="6">
        <f t="shared" si="2"/>
        <v>68</v>
      </c>
      <c r="BF8" s="6">
        <f t="shared" si="2"/>
        <v>69</v>
      </c>
      <c r="BG8" s="6">
        <f t="shared" si="2"/>
        <v>72</v>
      </c>
      <c r="BH8" s="6">
        <f t="shared" si="2"/>
        <v>73</v>
      </c>
      <c r="BI8" s="6">
        <f t="shared" si="2"/>
        <v>74</v>
      </c>
      <c r="BJ8" s="6">
        <f t="shared" si="2"/>
        <v>75</v>
      </c>
      <c r="BK8" s="6">
        <f t="shared" si="2"/>
        <v>76</v>
      </c>
      <c r="BL8" s="6">
        <f t="shared" si="2"/>
        <v>79</v>
      </c>
      <c r="BM8" s="6">
        <f t="shared" si="2"/>
        <v>80</v>
      </c>
      <c r="BN8" s="6">
        <f t="shared" si="2"/>
        <v>81</v>
      </c>
      <c r="BO8" s="6">
        <f t="shared" si="2"/>
        <v>82</v>
      </c>
      <c r="BP8" s="6">
        <f t="shared" si="2"/>
        <v>83</v>
      </c>
      <c r="BQ8" s="6">
        <f t="shared" si="2"/>
        <v>86</v>
      </c>
      <c r="BR8" s="6">
        <f t="shared" si="2"/>
        <v>87</v>
      </c>
      <c r="BS8" s="6">
        <f t="shared" si="2"/>
        <v>88</v>
      </c>
      <c r="BT8" s="6">
        <f t="shared" si="2"/>
        <v>89</v>
      </c>
      <c r="BU8" s="6">
        <f t="shared" si="2"/>
        <v>90</v>
      </c>
      <c r="BV8" s="6">
        <f t="shared" si="2"/>
        <v>93</v>
      </c>
      <c r="BW8" s="6">
        <f t="shared" si="2"/>
        <v>94</v>
      </c>
      <c r="BX8" s="6">
        <f t="shared" si="2"/>
        <v>95</v>
      </c>
      <c r="BY8" s="6">
        <f t="shared" si="2"/>
        <v>96</v>
      </c>
      <c r="BZ8" s="6">
        <f t="shared" si="2"/>
        <v>97</v>
      </c>
      <c r="CA8" s="6">
        <f t="shared" si="2"/>
        <v>100</v>
      </c>
      <c r="CB8" s="6">
        <f t="shared" si="2"/>
        <v>101</v>
      </c>
      <c r="CC8" s="6">
        <f t="shared" si="2"/>
        <v>102</v>
      </c>
      <c r="CD8" s="6">
        <f t="shared" si="2"/>
        <v>103</v>
      </c>
      <c r="CE8" s="6">
        <f t="shared" si="2"/>
        <v>104</v>
      </c>
      <c r="CF8" s="6">
        <f t="shared" si="2"/>
        <v>107</v>
      </c>
      <c r="CG8" s="6">
        <f t="shared" si="2"/>
        <v>108</v>
      </c>
      <c r="CH8" s="6">
        <f t="shared" si="2"/>
        <v>109</v>
      </c>
      <c r="CI8" s="6">
        <f t="shared" si="2"/>
        <v>110</v>
      </c>
      <c r="CJ8" s="6">
        <f t="shared" si="2"/>
        <v>111</v>
      </c>
      <c r="CK8" s="6">
        <f t="shared" si="2"/>
        <v>114</v>
      </c>
      <c r="CL8" s="6">
        <f t="shared" si="2"/>
        <v>115</v>
      </c>
      <c r="CM8" s="6">
        <f t="shared" si="2"/>
        <v>116</v>
      </c>
      <c r="CN8" s="6">
        <f t="shared" si="2"/>
        <v>117</v>
      </c>
      <c r="CO8" s="6">
        <f t="shared" si="2"/>
        <v>118</v>
      </c>
      <c r="CP8" s="6">
        <f t="shared" si="2"/>
        <v>121</v>
      </c>
      <c r="CQ8" s="6">
        <f t="shared" si="2"/>
        <v>122</v>
      </c>
      <c r="CR8" s="6">
        <f t="shared" si="2"/>
        <v>123</v>
      </c>
      <c r="CS8" s="6">
        <f t="shared" si="2"/>
        <v>124</v>
      </c>
      <c r="CT8" s="6">
        <f t="shared" si="2"/>
        <v>125</v>
      </c>
      <c r="CU8" s="6">
        <f t="shared" si="2"/>
        <v>128</v>
      </c>
      <c r="CV8" s="6">
        <f t="shared" si="2"/>
        <v>129</v>
      </c>
      <c r="CW8" s="6">
        <f t="shared" si="2"/>
        <v>130</v>
      </c>
      <c r="CX8" s="6">
        <f t="shared" si="2"/>
        <v>131</v>
      </c>
      <c r="CY8" s="6">
        <f t="shared" si="2"/>
        <v>132</v>
      </c>
      <c r="CZ8" s="6">
        <f t="shared" si="2"/>
        <v>135</v>
      </c>
      <c r="DA8" s="6">
        <f t="shared" si="2"/>
        <v>136</v>
      </c>
      <c r="DB8" s="6">
        <f t="shared" si="2"/>
        <v>137</v>
      </c>
      <c r="DC8" s="6">
        <f t="shared" si="2"/>
        <v>138</v>
      </c>
      <c r="DD8" s="6">
        <f t="shared" si="2"/>
        <v>139</v>
      </c>
      <c r="DE8" s="6">
        <f t="shared" si="2"/>
        <v>142</v>
      </c>
      <c r="DF8" s="6">
        <f t="shared" si="2"/>
        <v>143</v>
      </c>
      <c r="DG8" s="6">
        <f t="shared" si="2"/>
        <v>144</v>
      </c>
      <c r="DH8" s="6">
        <f t="shared" si="2"/>
        <v>145</v>
      </c>
      <c r="DI8" s="6">
        <f t="shared" si="2"/>
        <v>146</v>
      </c>
      <c r="DJ8" s="6">
        <f t="shared" si="2"/>
        <v>149</v>
      </c>
      <c r="DK8" s="6">
        <f t="shared" si="2"/>
        <v>150</v>
      </c>
      <c r="DL8" s="6">
        <f t="shared" si="2"/>
        <v>151</v>
      </c>
      <c r="DM8" s="6">
        <f t="shared" si="2"/>
        <v>152</v>
      </c>
      <c r="DN8" s="6">
        <f t="shared" si="2"/>
        <v>153</v>
      </c>
      <c r="DO8" s="6">
        <f t="shared" si="2"/>
        <v>156</v>
      </c>
      <c r="DP8" s="6">
        <f t="shared" si="2"/>
        <v>157</v>
      </c>
      <c r="DQ8" s="6">
        <f t="shared" si="2"/>
        <v>158</v>
      </c>
      <c r="DR8" s="6">
        <f t="shared" si="2"/>
        <v>159</v>
      </c>
      <c r="DS8" s="6">
        <f t="shared" si="2"/>
        <v>160</v>
      </c>
      <c r="DT8" s="6">
        <f t="shared" si="2"/>
        <v>163</v>
      </c>
      <c r="DU8" s="6">
        <f t="shared" si="2"/>
        <v>164</v>
      </c>
      <c r="DV8" s="6">
        <f t="shared" si="2"/>
        <v>165</v>
      </c>
      <c r="DW8" s="6">
        <f t="shared" si="2"/>
        <v>166</v>
      </c>
      <c r="DX8" s="6">
        <f t="shared" si="2"/>
        <v>167</v>
      </c>
      <c r="DY8" s="6">
        <f t="shared" si="2"/>
        <v>170</v>
      </c>
      <c r="DZ8" s="6">
        <f t="shared" si="2"/>
        <v>171</v>
      </c>
      <c r="EA8" s="6">
        <f t="shared" si="2"/>
        <v>172</v>
      </c>
      <c r="EB8" s="6">
        <f t="shared" si="2"/>
        <v>173</v>
      </c>
      <c r="EC8" s="6">
        <f t="shared" si="2"/>
        <v>174</v>
      </c>
      <c r="ED8" s="6">
        <f t="shared" si="2"/>
        <v>177</v>
      </c>
      <c r="EE8" s="6">
        <f t="shared" si="2"/>
        <v>178</v>
      </c>
      <c r="EF8" s="6">
        <f t="shared" si="2"/>
        <v>179</v>
      </c>
      <c r="EG8" s="6">
        <f t="shared" si="2"/>
        <v>180</v>
      </c>
      <c r="EH8" s="6">
        <f t="shared" si="2"/>
        <v>181</v>
      </c>
      <c r="EI8" s="6">
        <f t="shared" si="2"/>
        <v>184</v>
      </c>
      <c r="EJ8" s="6">
        <f t="shared" si="2"/>
        <v>185</v>
      </c>
      <c r="EK8" s="6">
        <f t="shared" si="2"/>
        <v>186</v>
      </c>
      <c r="EL8" s="6">
        <f t="shared" si="2"/>
        <v>187</v>
      </c>
      <c r="EM8" s="6">
        <f t="shared" si="2"/>
        <v>188</v>
      </c>
      <c r="EN8" s="6">
        <f t="shared" si="2"/>
        <v>191</v>
      </c>
      <c r="EO8" s="6">
        <f t="shared" si="2"/>
        <v>192</v>
      </c>
      <c r="EP8" s="6">
        <f t="shared" si="2"/>
        <v>193</v>
      </c>
      <c r="EQ8" s="6">
        <f t="shared" si="2"/>
        <v>194</v>
      </c>
      <c r="ER8" s="6">
        <f t="shared" si="2"/>
        <v>195</v>
      </c>
      <c r="ES8" s="6">
        <f t="shared" si="2"/>
        <v>198</v>
      </c>
      <c r="ET8" s="6">
        <f t="shared" si="2"/>
        <v>199</v>
      </c>
      <c r="EU8" s="6">
        <f t="shared" si="2"/>
        <v>200</v>
      </c>
      <c r="EV8" s="6">
        <f t="shared" si="2"/>
        <v>201</v>
      </c>
      <c r="EW8" s="6">
        <f t="shared" si="2"/>
        <v>202</v>
      </c>
      <c r="EX8" s="6">
        <f t="shared" si="2"/>
        <v>205</v>
      </c>
      <c r="EY8" s="6">
        <f t="shared" si="2"/>
        <v>206</v>
      </c>
      <c r="EZ8" s="6">
        <f t="shared" si="2"/>
        <v>207</v>
      </c>
      <c r="FA8" s="6">
        <f t="shared" si="2"/>
        <v>208</v>
      </c>
      <c r="FB8" s="6">
        <f t="shared" si="2"/>
        <v>209</v>
      </c>
      <c r="FC8" s="6">
        <f t="shared" si="2"/>
        <v>212</v>
      </c>
      <c r="FD8" s="6">
        <f t="shared" si="2"/>
        <v>213</v>
      </c>
      <c r="FE8" s="6">
        <f t="shared" si="2"/>
        <v>214</v>
      </c>
      <c r="FF8" s="6">
        <f t="shared" si="2"/>
        <v>215</v>
      </c>
      <c r="FG8" s="6">
        <f t="shared" si="2"/>
        <v>216</v>
      </c>
      <c r="FH8" s="6">
        <f t="shared" si="2"/>
        <v>219</v>
      </c>
      <c r="FI8" s="6">
        <f t="shared" si="2"/>
        <v>220</v>
      </c>
      <c r="FJ8" s="6">
        <f t="shared" si="2"/>
        <v>221</v>
      </c>
      <c r="FK8" s="6">
        <f t="shared" si="2"/>
        <v>222</v>
      </c>
      <c r="FL8" s="6">
        <f t="shared" si="2"/>
        <v>223</v>
      </c>
      <c r="FM8" s="6">
        <f t="shared" si="2"/>
        <v>226</v>
      </c>
      <c r="FN8" s="6">
        <f t="shared" si="2"/>
        <v>227</v>
      </c>
      <c r="FO8" s="6">
        <f t="shared" si="2"/>
        <v>228</v>
      </c>
      <c r="FP8" s="6">
        <f t="shared" si="2"/>
        <v>229</v>
      </c>
      <c r="FQ8" s="6">
        <f t="shared" si="2"/>
        <v>230</v>
      </c>
      <c r="FR8" s="6">
        <f t="shared" si="2"/>
        <v>233</v>
      </c>
      <c r="FS8" s="6">
        <f t="shared" si="2"/>
        <v>234</v>
      </c>
      <c r="FT8" s="6">
        <f t="shared" si="2"/>
        <v>235</v>
      </c>
      <c r="FU8" s="6">
        <f t="shared" si="2"/>
        <v>236</v>
      </c>
      <c r="FV8" s="6">
        <f t="shared" si="2"/>
        <v>237</v>
      </c>
      <c r="FW8" s="6">
        <f t="shared" si="2"/>
        <v>240</v>
      </c>
      <c r="FX8" s="6">
        <f t="shared" si="2"/>
        <v>241</v>
      </c>
      <c r="FY8" s="6">
        <f t="shared" si="2"/>
        <v>242</v>
      </c>
      <c r="FZ8" s="6">
        <f t="shared" si="2"/>
        <v>243</v>
      </c>
      <c r="GA8" s="6">
        <f t="shared" si="2"/>
        <v>244</v>
      </c>
      <c r="GB8" s="6">
        <f t="shared" si="2"/>
        <v>247</v>
      </c>
      <c r="GC8" s="6">
        <f t="shared" si="2"/>
        <v>248</v>
      </c>
      <c r="GD8" s="6">
        <f t="shared" si="2"/>
        <v>249</v>
      </c>
      <c r="GE8" s="6">
        <f t="shared" si="2"/>
        <v>250</v>
      </c>
      <c r="GF8" s="6">
        <f t="shared" si="2"/>
        <v>251</v>
      </c>
      <c r="GG8" s="6">
        <f t="shared" si="2"/>
        <v>254</v>
      </c>
      <c r="GH8" s="6">
        <f t="shared" si="2"/>
        <v>255</v>
      </c>
      <c r="GI8" s="6">
        <f t="shared" si="2"/>
        <v>256</v>
      </c>
      <c r="GJ8" s="6">
        <f t="shared" si="2"/>
        <v>257</v>
      </c>
      <c r="GK8" s="6">
        <f t="shared" si="2"/>
        <v>258</v>
      </c>
      <c r="GL8" s="6">
        <f t="shared" si="2"/>
        <v>261</v>
      </c>
      <c r="GM8" s="6">
        <f t="shared" si="2"/>
        <v>262</v>
      </c>
      <c r="GN8" s="6">
        <f t="shared" si="2"/>
        <v>263</v>
      </c>
      <c r="GO8" s="6">
        <f t="shared" si="2"/>
        <v>264</v>
      </c>
      <c r="GP8" s="6">
        <f t="shared" si="2"/>
        <v>265</v>
      </c>
      <c r="GQ8" s="6">
        <f t="shared" si="2"/>
        <v>268</v>
      </c>
      <c r="GR8" s="6">
        <f t="shared" si="2"/>
        <v>269</v>
      </c>
      <c r="GS8" s="6">
        <f t="shared" si="2"/>
        <v>270</v>
      </c>
      <c r="GT8" s="6">
        <f t="shared" si="2"/>
        <v>271</v>
      </c>
      <c r="GU8" s="6">
        <f t="shared" si="2"/>
        <v>272</v>
      </c>
      <c r="GV8" s="6">
        <f t="shared" si="2"/>
        <v>275</v>
      </c>
      <c r="GW8" s="6">
        <f t="shared" si="2"/>
        <v>276</v>
      </c>
      <c r="GX8" s="6">
        <f t="shared" si="2"/>
        <v>277</v>
      </c>
      <c r="GY8" s="6">
        <f t="shared" si="2"/>
        <v>278</v>
      </c>
      <c r="GZ8" s="6">
        <f t="shared" si="2"/>
        <v>279</v>
      </c>
      <c r="HA8" s="6">
        <f t="shared" si="2"/>
        <v>282</v>
      </c>
      <c r="HB8" s="6">
        <f t="shared" si="2"/>
        <v>283</v>
      </c>
      <c r="HC8" s="6">
        <f t="shared" si="2"/>
        <v>284</v>
      </c>
      <c r="HD8" s="6">
        <f t="shared" si="2"/>
        <v>285</v>
      </c>
      <c r="HE8" s="6">
        <f t="shared" si="2"/>
        <v>286</v>
      </c>
      <c r="HF8" s="6">
        <f t="shared" si="2"/>
        <v>289</v>
      </c>
      <c r="HG8" s="6">
        <f t="shared" si="2"/>
        <v>290</v>
      </c>
      <c r="HH8" s="6">
        <f t="shared" si="2"/>
        <v>291</v>
      </c>
      <c r="HI8" s="6">
        <f t="shared" si="2"/>
        <v>292</v>
      </c>
      <c r="HJ8" s="6">
        <f t="shared" si="2"/>
        <v>293</v>
      </c>
      <c r="HK8" s="6">
        <f t="shared" si="2"/>
        <v>296</v>
      </c>
      <c r="HL8" s="6">
        <f t="shared" si="2"/>
        <v>297</v>
      </c>
      <c r="HM8" s="6">
        <f t="shared" si="2"/>
        <v>298</v>
      </c>
      <c r="HN8" s="6">
        <f t="shared" si="2"/>
        <v>299</v>
      </c>
      <c r="HO8" s="6">
        <f t="shared" si="2"/>
        <v>300</v>
      </c>
      <c r="HP8" s="6">
        <f t="shared" si="2"/>
        <v>303</v>
      </c>
      <c r="HQ8" s="6">
        <f t="shared" si="2"/>
        <v>304</v>
      </c>
      <c r="HR8" s="6">
        <f t="shared" si="2"/>
        <v>305</v>
      </c>
      <c r="HS8" s="6">
        <f t="shared" si="2"/>
        <v>306</v>
      </c>
      <c r="HT8" s="6">
        <f t="shared" si="2"/>
        <v>307</v>
      </c>
      <c r="HU8" s="6">
        <f t="shared" si="2"/>
        <v>310</v>
      </c>
      <c r="HV8" s="6">
        <f t="shared" si="2"/>
        <v>311</v>
      </c>
      <c r="HW8" s="6">
        <f t="shared" si="2"/>
        <v>312</v>
      </c>
      <c r="HX8" s="6">
        <f t="shared" si="2"/>
        <v>313</v>
      </c>
      <c r="HY8" s="6">
        <f t="shared" si="2"/>
        <v>314</v>
      </c>
      <c r="HZ8" s="6">
        <f t="shared" si="2"/>
        <v>317</v>
      </c>
      <c r="IA8" s="6">
        <f t="shared" si="2"/>
        <v>318</v>
      </c>
      <c r="IB8" s="6">
        <f t="shared" si="2"/>
        <v>319</v>
      </c>
      <c r="IC8" s="6">
        <f t="shared" si="2"/>
        <v>320</v>
      </c>
      <c r="ID8" s="6">
        <f t="shared" si="2"/>
        <v>321</v>
      </c>
      <c r="IE8" s="6">
        <f t="shared" si="2"/>
        <v>324</v>
      </c>
      <c r="IF8" s="6">
        <f t="shared" si="2"/>
        <v>325</v>
      </c>
      <c r="IG8" s="6">
        <f t="shared" si="2"/>
        <v>326</v>
      </c>
      <c r="IH8" s="6">
        <f t="shared" si="2"/>
        <v>327</v>
      </c>
      <c r="II8" s="6">
        <f t="shared" si="2"/>
        <v>328</v>
      </c>
      <c r="IJ8" s="6">
        <f t="shared" si="2"/>
        <v>331</v>
      </c>
      <c r="IK8" s="6">
        <f t="shared" si="2"/>
        <v>332</v>
      </c>
      <c r="IL8" s="6">
        <f t="shared" si="2"/>
        <v>333</v>
      </c>
      <c r="IM8" s="6">
        <f t="shared" si="2"/>
        <v>334</v>
      </c>
      <c r="IN8" s="6">
        <f t="shared" si="2"/>
        <v>335</v>
      </c>
      <c r="IO8" s="6">
        <f t="shared" si="2"/>
        <v>338</v>
      </c>
      <c r="IP8" s="6">
        <f t="shared" si="2"/>
        <v>339</v>
      </c>
      <c r="IQ8" s="6">
        <f t="shared" si="2"/>
        <v>340</v>
      </c>
      <c r="IR8" s="6">
        <f t="shared" si="2"/>
        <v>341</v>
      </c>
      <c r="IS8" s="6">
        <f t="shared" si="2"/>
        <v>342</v>
      </c>
      <c r="IT8" s="6">
        <f t="shared" si="2"/>
        <v>345</v>
      </c>
      <c r="IU8" s="6">
        <f t="shared" si="2"/>
        <v>346</v>
      </c>
      <c r="IV8" s="6">
        <f t="shared" si="2"/>
        <v>347</v>
      </c>
      <c r="IW8" s="6">
        <f t="shared" si="2"/>
        <v>348</v>
      </c>
      <c r="IX8" s="6">
        <f t="shared" si="2"/>
        <v>349</v>
      </c>
      <c r="IY8" s="6">
        <f t="shared" si="2"/>
        <v>352</v>
      </c>
      <c r="IZ8" s="6">
        <f t="shared" si="2"/>
        <v>353</v>
      </c>
      <c r="JA8" s="6">
        <f t="shared" si="2"/>
        <v>354</v>
      </c>
      <c r="JB8" s="6">
        <f t="shared" si="2"/>
        <v>355</v>
      </c>
      <c r="JC8" s="6">
        <f t="shared" ref="JC8:SC8" si="3">JC9</f>
        <v>356</v>
      </c>
      <c r="JD8" s="6">
        <f t="shared" si="3"/>
        <v>359</v>
      </c>
      <c r="JE8" s="6">
        <f t="shared" si="3"/>
        <v>360</v>
      </c>
      <c r="JF8" s="6">
        <f t="shared" si="3"/>
        <v>361</v>
      </c>
      <c r="JG8" s="6">
        <f t="shared" si="3"/>
        <v>362</v>
      </c>
      <c r="JH8" s="6">
        <f t="shared" si="3"/>
        <v>363</v>
      </c>
      <c r="JI8" s="6">
        <f t="shared" si="3"/>
        <v>366</v>
      </c>
      <c r="JJ8" s="6">
        <f t="shared" si="3"/>
        <v>367</v>
      </c>
      <c r="JK8" s="6">
        <f t="shared" si="3"/>
        <v>368</v>
      </c>
      <c r="JL8" s="6">
        <f t="shared" si="3"/>
        <v>369</v>
      </c>
      <c r="JM8" s="6">
        <f t="shared" si="3"/>
        <v>370</v>
      </c>
      <c r="JN8" s="6">
        <f t="shared" si="3"/>
        <v>373</v>
      </c>
      <c r="JO8" s="6">
        <f t="shared" si="3"/>
        <v>374</v>
      </c>
      <c r="JP8" s="6">
        <f t="shared" si="3"/>
        <v>375</v>
      </c>
      <c r="JQ8" s="6">
        <f t="shared" si="3"/>
        <v>376</v>
      </c>
      <c r="JR8" s="6">
        <f t="shared" si="3"/>
        <v>377</v>
      </c>
      <c r="JS8" s="6">
        <f t="shared" si="3"/>
        <v>380</v>
      </c>
      <c r="JT8" s="6">
        <f t="shared" si="3"/>
        <v>381</v>
      </c>
      <c r="JU8" s="6">
        <f t="shared" si="3"/>
        <v>382</v>
      </c>
      <c r="JV8" s="6">
        <f t="shared" si="3"/>
        <v>383</v>
      </c>
      <c r="JW8" s="6">
        <f t="shared" si="3"/>
        <v>384</v>
      </c>
      <c r="JX8" s="6">
        <f t="shared" si="3"/>
        <v>387</v>
      </c>
      <c r="JY8" s="6">
        <f t="shared" si="3"/>
        <v>388</v>
      </c>
      <c r="JZ8" s="6">
        <f t="shared" si="3"/>
        <v>389</v>
      </c>
      <c r="KA8" s="6">
        <f t="shared" si="3"/>
        <v>390</v>
      </c>
      <c r="KB8" s="6">
        <f t="shared" si="3"/>
        <v>391</v>
      </c>
      <c r="KC8" s="6">
        <f t="shared" si="3"/>
        <v>394</v>
      </c>
      <c r="KD8" s="6">
        <f t="shared" si="3"/>
        <v>395</v>
      </c>
      <c r="KE8" s="6">
        <f t="shared" si="3"/>
        <v>396</v>
      </c>
      <c r="KF8" s="6">
        <f t="shared" si="3"/>
        <v>397</v>
      </c>
      <c r="KG8" s="6">
        <f t="shared" si="3"/>
        <v>398</v>
      </c>
      <c r="KH8" s="6">
        <f t="shared" si="3"/>
        <v>401</v>
      </c>
      <c r="KI8" s="6">
        <f t="shared" si="3"/>
        <v>402</v>
      </c>
      <c r="KJ8" s="6">
        <f t="shared" si="3"/>
        <v>403</v>
      </c>
      <c r="KK8" s="6">
        <f t="shared" si="3"/>
        <v>404</v>
      </c>
      <c r="KL8" s="6">
        <f t="shared" si="3"/>
        <v>405</v>
      </c>
      <c r="KM8" s="6">
        <f t="shared" si="3"/>
        <v>408</v>
      </c>
      <c r="KN8" s="6">
        <f t="shared" si="3"/>
        <v>409</v>
      </c>
      <c r="KO8" s="6">
        <f t="shared" si="3"/>
        <v>410</v>
      </c>
      <c r="KP8" s="6">
        <f t="shared" si="3"/>
        <v>411</v>
      </c>
      <c r="KQ8" s="6">
        <f t="shared" si="3"/>
        <v>412</v>
      </c>
      <c r="KR8" s="6">
        <f t="shared" si="3"/>
        <v>415</v>
      </c>
      <c r="KS8" s="6">
        <f t="shared" si="3"/>
        <v>416</v>
      </c>
      <c r="KT8" s="6">
        <f t="shared" si="3"/>
        <v>417</v>
      </c>
      <c r="KU8" s="6">
        <f t="shared" si="3"/>
        <v>418</v>
      </c>
      <c r="KV8" s="6">
        <f t="shared" si="3"/>
        <v>419</v>
      </c>
      <c r="KW8" s="6">
        <f t="shared" si="3"/>
        <v>422</v>
      </c>
      <c r="KX8" s="6">
        <f t="shared" si="3"/>
        <v>423</v>
      </c>
      <c r="KY8" s="6">
        <f t="shared" si="3"/>
        <v>424</v>
      </c>
      <c r="KZ8" s="6">
        <f t="shared" si="3"/>
        <v>425</v>
      </c>
      <c r="LA8" s="6">
        <f t="shared" si="3"/>
        <v>426</v>
      </c>
      <c r="LB8" s="6">
        <f t="shared" si="3"/>
        <v>429</v>
      </c>
      <c r="LC8" s="6">
        <f t="shared" si="3"/>
        <v>430</v>
      </c>
      <c r="LD8" s="6">
        <f t="shared" si="3"/>
        <v>431</v>
      </c>
      <c r="LE8" s="6">
        <f t="shared" si="3"/>
        <v>432</v>
      </c>
      <c r="LF8" s="6">
        <f t="shared" si="3"/>
        <v>433</v>
      </c>
      <c r="LG8" s="6">
        <f t="shared" si="3"/>
        <v>436</v>
      </c>
      <c r="LH8" s="6">
        <f t="shared" si="3"/>
        <v>437</v>
      </c>
      <c r="LI8" s="6">
        <f t="shared" si="3"/>
        <v>438</v>
      </c>
      <c r="LJ8" s="6">
        <f t="shared" si="3"/>
        <v>439</v>
      </c>
      <c r="LK8" s="6">
        <f t="shared" si="3"/>
        <v>440</v>
      </c>
      <c r="LL8" s="6">
        <f t="shared" si="3"/>
        <v>443</v>
      </c>
      <c r="LM8" s="6">
        <f t="shared" si="3"/>
        <v>444</v>
      </c>
      <c r="LN8" s="6">
        <f t="shared" si="3"/>
        <v>445</v>
      </c>
      <c r="LO8" s="6">
        <f t="shared" si="3"/>
        <v>446</v>
      </c>
      <c r="LP8" s="6">
        <f t="shared" si="3"/>
        <v>447</v>
      </c>
      <c r="LQ8" s="6">
        <f t="shared" si="3"/>
        <v>450</v>
      </c>
      <c r="LR8" s="6">
        <f t="shared" si="3"/>
        <v>451</v>
      </c>
      <c r="LS8" s="6">
        <f t="shared" si="3"/>
        <v>452</v>
      </c>
      <c r="LT8" s="6">
        <f t="shared" si="3"/>
        <v>453</v>
      </c>
      <c r="LU8" s="6">
        <f t="shared" si="3"/>
        <v>454</v>
      </c>
      <c r="LV8" s="6">
        <f t="shared" si="3"/>
        <v>457</v>
      </c>
      <c r="LW8" s="6">
        <f t="shared" si="3"/>
        <v>458</v>
      </c>
      <c r="LX8" s="6">
        <f t="shared" si="3"/>
        <v>459</v>
      </c>
      <c r="LY8" s="6">
        <f t="shared" si="3"/>
        <v>460</v>
      </c>
      <c r="LZ8" s="6">
        <f t="shared" si="3"/>
        <v>461</v>
      </c>
      <c r="MA8" s="6">
        <f t="shared" si="3"/>
        <v>464</v>
      </c>
      <c r="MB8" s="6">
        <f t="shared" si="3"/>
        <v>465</v>
      </c>
      <c r="MC8" s="6">
        <f t="shared" si="3"/>
        <v>466</v>
      </c>
      <c r="MD8" s="6">
        <f t="shared" si="3"/>
        <v>467</v>
      </c>
      <c r="ME8" s="6">
        <f t="shared" si="3"/>
        <v>468</v>
      </c>
      <c r="MF8" s="6">
        <f t="shared" si="3"/>
        <v>471</v>
      </c>
      <c r="MG8" s="6">
        <f t="shared" si="3"/>
        <v>472</v>
      </c>
      <c r="MH8" s="6">
        <f t="shared" si="3"/>
        <v>473</v>
      </c>
      <c r="MI8" s="6">
        <f t="shared" si="3"/>
        <v>474</v>
      </c>
      <c r="MJ8" s="6">
        <f t="shared" si="3"/>
        <v>475</v>
      </c>
      <c r="MK8" s="6">
        <f t="shared" si="3"/>
        <v>478</v>
      </c>
      <c r="ML8" s="6">
        <f t="shared" si="3"/>
        <v>479</v>
      </c>
      <c r="MM8" s="6">
        <f t="shared" si="3"/>
        <v>480</v>
      </c>
      <c r="MN8" s="6">
        <f t="shared" si="3"/>
        <v>481</v>
      </c>
      <c r="MO8" s="6">
        <f t="shared" si="3"/>
        <v>482</v>
      </c>
      <c r="MP8" s="6">
        <f t="shared" si="3"/>
        <v>485</v>
      </c>
      <c r="MQ8" s="6">
        <f t="shared" si="3"/>
        <v>486</v>
      </c>
      <c r="MR8" s="6">
        <f t="shared" si="3"/>
        <v>487</v>
      </c>
      <c r="MS8" s="6">
        <f t="shared" si="3"/>
        <v>488</v>
      </c>
      <c r="MT8" s="6">
        <f t="shared" si="3"/>
        <v>489</v>
      </c>
      <c r="MU8" s="6">
        <f t="shared" si="3"/>
        <v>492</v>
      </c>
      <c r="MV8" s="6">
        <f t="shared" si="3"/>
        <v>493</v>
      </c>
      <c r="MW8" s="6">
        <f t="shared" si="3"/>
        <v>494</v>
      </c>
      <c r="MX8" s="6">
        <f t="shared" si="3"/>
        <v>495</v>
      </c>
      <c r="MY8" s="6">
        <f t="shared" si="3"/>
        <v>496</v>
      </c>
      <c r="MZ8" s="6">
        <f t="shared" si="3"/>
        <v>499</v>
      </c>
      <c r="NA8" s="6">
        <f t="shared" si="3"/>
        <v>500</v>
      </c>
      <c r="NB8" s="6">
        <f t="shared" si="3"/>
        <v>501</v>
      </c>
      <c r="NC8" s="6">
        <f t="shared" si="3"/>
        <v>502</v>
      </c>
      <c r="ND8" s="6">
        <f t="shared" si="3"/>
        <v>503</v>
      </c>
      <c r="NE8" s="6">
        <f t="shared" si="3"/>
        <v>506</v>
      </c>
      <c r="NF8" s="6">
        <f t="shared" si="3"/>
        <v>507</v>
      </c>
      <c r="NG8" s="6">
        <f t="shared" si="3"/>
        <v>508</v>
      </c>
      <c r="NH8" s="6">
        <f t="shared" si="3"/>
        <v>509</v>
      </c>
      <c r="NI8" s="6">
        <f t="shared" si="3"/>
        <v>510</v>
      </c>
      <c r="NJ8" s="6">
        <f t="shared" si="3"/>
        <v>513</v>
      </c>
      <c r="NK8" s="6">
        <f t="shared" si="3"/>
        <v>514</v>
      </c>
      <c r="NL8" s="6">
        <f t="shared" si="3"/>
        <v>515</v>
      </c>
      <c r="NM8" s="6">
        <f t="shared" si="3"/>
        <v>516</v>
      </c>
      <c r="NN8" s="6">
        <f t="shared" si="3"/>
        <v>517</v>
      </c>
      <c r="NO8" s="6">
        <f t="shared" si="3"/>
        <v>520</v>
      </c>
      <c r="NP8" s="6">
        <f t="shared" si="3"/>
        <v>521</v>
      </c>
      <c r="NQ8" s="6">
        <f t="shared" si="3"/>
        <v>522</v>
      </c>
      <c r="NR8" s="6">
        <f t="shared" si="3"/>
        <v>523</v>
      </c>
      <c r="NS8" s="6">
        <f t="shared" si="3"/>
        <v>524</v>
      </c>
      <c r="NT8" s="6">
        <f t="shared" si="3"/>
        <v>527</v>
      </c>
      <c r="NU8" s="6">
        <f t="shared" si="3"/>
        <v>528</v>
      </c>
      <c r="NV8" s="6">
        <f t="shared" si="3"/>
        <v>529</v>
      </c>
      <c r="NW8" s="6">
        <f t="shared" si="3"/>
        <v>530</v>
      </c>
      <c r="NX8" s="6">
        <f t="shared" si="3"/>
        <v>531</v>
      </c>
      <c r="NY8" s="6">
        <f t="shared" si="3"/>
        <v>534</v>
      </c>
      <c r="NZ8" s="6">
        <f t="shared" si="3"/>
        <v>535</v>
      </c>
      <c r="OA8" s="6">
        <f t="shared" si="3"/>
        <v>536</v>
      </c>
      <c r="OB8" s="6">
        <f t="shared" si="3"/>
        <v>537</v>
      </c>
      <c r="OC8" s="6">
        <f t="shared" si="3"/>
        <v>538</v>
      </c>
      <c r="OD8" s="6">
        <f t="shared" si="3"/>
        <v>541</v>
      </c>
      <c r="OE8" s="6">
        <f t="shared" si="3"/>
        <v>542</v>
      </c>
      <c r="OF8" s="6">
        <f t="shared" si="3"/>
        <v>543</v>
      </c>
      <c r="OG8" s="6">
        <f t="shared" si="3"/>
        <v>544</v>
      </c>
      <c r="OH8" s="6">
        <f t="shared" si="3"/>
        <v>545</v>
      </c>
      <c r="OI8" s="6">
        <f t="shared" si="3"/>
        <v>548</v>
      </c>
      <c r="OJ8" s="6">
        <f t="shared" si="3"/>
        <v>549</v>
      </c>
      <c r="OK8" s="6">
        <f t="shared" si="3"/>
        <v>550</v>
      </c>
      <c r="OL8" s="6">
        <f t="shared" si="3"/>
        <v>551</v>
      </c>
      <c r="OM8" s="6">
        <f t="shared" si="3"/>
        <v>552</v>
      </c>
      <c r="ON8" s="6">
        <f t="shared" si="3"/>
        <v>555</v>
      </c>
      <c r="OO8" s="6">
        <f t="shared" si="3"/>
        <v>556</v>
      </c>
      <c r="OP8" s="6">
        <f t="shared" si="3"/>
        <v>557</v>
      </c>
      <c r="OQ8" s="6">
        <f t="shared" si="3"/>
        <v>558</v>
      </c>
      <c r="OR8" s="6">
        <f t="shared" si="3"/>
        <v>559</v>
      </c>
      <c r="OS8" s="6">
        <f t="shared" si="3"/>
        <v>562</v>
      </c>
      <c r="OT8" s="6">
        <f t="shared" si="3"/>
        <v>563</v>
      </c>
      <c r="OU8" s="6">
        <f t="shared" si="3"/>
        <v>564</v>
      </c>
      <c r="OV8" s="6">
        <f t="shared" si="3"/>
        <v>565</v>
      </c>
      <c r="OW8" s="6">
        <f t="shared" si="3"/>
        <v>566</v>
      </c>
      <c r="OX8" s="6">
        <f t="shared" si="3"/>
        <v>569</v>
      </c>
      <c r="OY8" s="6">
        <f t="shared" si="3"/>
        <v>570</v>
      </c>
      <c r="OZ8" s="6">
        <f t="shared" si="3"/>
        <v>571</v>
      </c>
      <c r="PA8" s="6">
        <f t="shared" si="3"/>
        <v>572</v>
      </c>
      <c r="PB8" s="6">
        <f t="shared" si="3"/>
        <v>573</v>
      </c>
      <c r="PC8" s="6">
        <f t="shared" si="3"/>
        <v>576</v>
      </c>
      <c r="PD8" s="6">
        <f t="shared" si="3"/>
        <v>577</v>
      </c>
      <c r="PE8" s="6">
        <f t="shared" si="3"/>
        <v>578</v>
      </c>
      <c r="PF8" s="6">
        <f t="shared" si="3"/>
        <v>579</v>
      </c>
      <c r="PG8" s="6">
        <f t="shared" si="3"/>
        <v>580</v>
      </c>
      <c r="PH8" s="6">
        <f t="shared" si="3"/>
        <v>583</v>
      </c>
      <c r="PI8" s="6">
        <f t="shared" si="3"/>
        <v>584</v>
      </c>
      <c r="PJ8" s="6">
        <f t="shared" si="3"/>
        <v>585</v>
      </c>
      <c r="PK8" s="6">
        <f t="shared" si="3"/>
        <v>586</v>
      </c>
      <c r="PL8" s="6">
        <f t="shared" si="3"/>
        <v>587</v>
      </c>
      <c r="PM8" s="6">
        <f t="shared" si="3"/>
        <v>590</v>
      </c>
      <c r="PN8" s="6">
        <f t="shared" si="3"/>
        <v>591</v>
      </c>
      <c r="PO8" s="6">
        <f t="shared" si="3"/>
        <v>592</v>
      </c>
      <c r="PP8" s="6">
        <f t="shared" si="3"/>
        <v>593</v>
      </c>
      <c r="PQ8" s="6">
        <f t="shared" si="3"/>
        <v>594</v>
      </c>
      <c r="PR8" s="6">
        <f t="shared" si="3"/>
        <v>597</v>
      </c>
      <c r="PS8" s="6">
        <f t="shared" si="3"/>
        <v>598</v>
      </c>
      <c r="PT8" s="6">
        <f t="shared" si="3"/>
        <v>599</v>
      </c>
      <c r="PU8" s="6">
        <f t="shared" si="3"/>
        <v>600</v>
      </c>
      <c r="PV8" s="6">
        <f t="shared" si="3"/>
        <v>601</v>
      </c>
      <c r="PW8" s="6">
        <f t="shared" si="3"/>
        <v>604</v>
      </c>
      <c r="PX8" s="6">
        <f t="shared" si="3"/>
        <v>605</v>
      </c>
      <c r="PY8" s="6">
        <f t="shared" si="3"/>
        <v>606</v>
      </c>
      <c r="PZ8" s="6">
        <f t="shared" si="3"/>
        <v>607</v>
      </c>
      <c r="QA8" s="6">
        <f t="shared" si="3"/>
        <v>608</v>
      </c>
      <c r="QB8" s="6">
        <f t="shared" si="3"/>
        <v>611</v>
      </c>
      <c r="QC8" s="6">
        <f t="shared" si="3"/>
        <v>612</v>
      </c>
      <c r="QD8" s="6">
        <f t="shared" si="3"/>
        <v>613</v>
      </c>
      <c r="QE8" s="6">
        <f t="shared" si="3"/>
        <v>614</v>
      </c>
      <c r="QF8" s="6">
        <f t="shared" si="3"/>
        <v>615</v>
      </c>
      <c r="QG8" s="6">
        <f t="shared" si="3"/>
        <v>618</v>
      </c>
      <c r="QH8" s="6">
        <f t="shared" si="3"/>
        <v>619</v>
      </c>
      <c r="QI8" s="6">
        <f t="shared" si="3"/>
        <v>620</v>
      </c>
      <c r="QJ8" s="6">
        <f t="shared" si="3"/>
        <v>621</v>
      </c>
      <c r="QK8" s="6">
        <f t="shared" si="3"/>
        <v>622</v>
      </c>
      <c r="QL8" s="6">
        <f t="shared" si="3"/>
        <v>625</v>
      </c>
      <c r="QM8" s="6">
        <f t="shared" si="3"/>
        <v>626</v>
      </c>
      <c r="QN8" s="6">
        <f t="shared" si="3"/>
        <v>627</v>
      </c>
      <c r="QO8" s="6">
        <f t="shared" si="3"/>
        <v>628</v>
      </c>
      <c r="QP8" s="6">
        <f t="shared" si="3"/>
        <v>629</v>
      </c>
      <c r="QQ8" s="6">
        <f t="shared" si="3"/>
        <v>632</v>
      </c>
      <c r="QR8" s="6">
        <f t="shared" si="3"/>
        <v>633</v>
      </c>
      <c r="QS8" s="6">
        <f t="shared" si="3"/>
        <v>634</v>
      </c>
      <c r="QT8" s="6">
        <f t="shared" si="3"/>
        <v>635</v>
      </c>
      <c r="QU8" s="6">
        <f t="shared" si="3"/>
        <v>636</v>
      </c>
      <c r="QV8" s="6">
        <f t="shared" si="3"/>
        <v>639</v>
      </c>
      <c r="QW8" s="6">
        <f t="shared" si="3"/>
        <v>640</v>
      </c>
      <c r="QX8" s="6">
        <f t="shared" si="3"/>
        <v>641</v>
      </c>
      <c r="QY8" s="6">
        <f t="shared" si="3"/>
        <v>642</v>
      </c>
      <c r="QZ8" s="6">
        <f t="shared" si="3"/>
        <v>643</v>
      </c>
      <c r="RA8" s="6">
        <f t="shared" si="3"/>
        <v>646</v>
      </c>
      <c r="RB8" s="6">
        <f t="shared" si="3"/>
        <v>647</v>
      </c>
      <c r="RC8" s="6">
        <f t="shared" si="3"/>
        <v>648</v>
      </c>
      <c r="RD8" s="6">
        <f t="shared" si="3"/>
        <v>649</v>
      </c>
      <c r="RE8" s="6">
        <f t="shared" si="3"/>
        <v>650</v>
      </c>
      <c r="RF8" s="6">
        <f t="shared" si="3"/>
        <v>653</v>
      </c>
      <c r="RG8" s="6">
        <f t="shared" si="3"/>
        <v>654</v>
      </c>
      <c r="RH8" s="6">
        <f t="shared" si="3"/>
        <v>655</v>
      </c>
      <c r="RI8" s="6">
        <f t="shared" si="3"/>
        <v>656</v>
      </c>
      <c r="RJ8" s="6">
        <f t="shared" si="3"/>
        <v>657</v>
      </c>
      <c r="RK8" s="6">
        <f t="shared" si="3"/>
        <v>660</v>
      </c>
      <c r="RL8" s="6">
        <f t="shared" si="3"/>
        <v>661</v>
      </c>
      <c r="RM8" s="6">
        <f t="shared" si="3"/>
        <v>662</v>
      </c>
      <c r="RN8" s="6">
        <f t="shared" si="3"/>
        <v>663</v>
      </c>
      <c r="RO8" s="6">
        <f t="shared" si="3"/>
        <v>664</v>
      </c>
      <c r="RP8" s="6">
        <f t="shared" si="3"/>
        <v>667</v>
      </c>
      <c r="RQ8" s="6">
        <f t="shared" si="3"/>
        <v>668</v>
      </c>
      <c r="RR8" s="6">
        <f t="shared" si="3"/>
        <v>669</v>
      </c>
      <c r="RS8" s="6">
        <f t="shared" si="3"/>
        <v>670</v>
      </c>
      <c r="RT8" s="6">
        <f t="shared" si="3"/>
        <v>671</v>
      </c>
      <c r="RU8" s="6">
        <f t="shared" si="3"/>
        <v>674</v>
      </c>
      <c r="RV8" s="6">
        <f t="shared" si="3"/>
        <v>675</v>
      </c>
      <c r="RW8" s="6">
        <f t="shared" si="3"/>
        <v>676</v>
      </c>
      <c r="RX8" s="6">
        <f t="shared" si="3"/>
        <v>677</v>
      </c>
      <c r="RY8" s="6">
        <f t="shared" si="3"/>
        <v>678</v>
      </c>
      <c r="RZ8" s="6">
        <f t="shared" si="3"/>
        <v>681</v>
      </c>
      <c r="SA8" s="6">
        <f t="shared" si="3"/>
        <v>682</v>
      </c>
      <c r="SB8" s="6">
        <f t="shared" si="3"/>
        <v>683</v>
      </c>
      <c r="SC8" s="6">
        <f t="shared" si="3"/>
        <v>684</v>
      </c>
    </row>
    <row r="9" spans="1:497" ht="15" customHeight="1" x14ac:dyDescent="0.15">
      <c r="A9" s="116"/>
      <c r="B9" s="105"/>
      <c r="C9" s="117" t="s">
        <v>90</v>
      </c>
      <c r="D9" s="117" t="s">
        <v>91</v>
      </c>
      <c r="E9" s="118" t="s">
        <v>92</v>
      </c>
      <c r="F9" s="119" t="s">
        <v>93</v>
      </c>
      <c r="G9" s="111" t="s">
        <v>94</v>
      </c>
      <c r="H9" s="113">
        <f>D4</f>
        <v>0</v>
      </c>
      <c r="I9" s="99">
        <f>IF( 'Setup ⚙️'!$C$26 = "Show Weekdays Only",WORKDAY(H9,1,'Setup ⚙️'!$AF$8:$AF$51),WORKDAY.INTL(H9,1,"0000000",'Setup ⚙️'!$AF$8:$AF$51))</f>
        <v>2</v>
      </c>
      <c r="J9" s="99">
        <f>IF( 'Setup ⚙️'!$C$26 = "Show Weekdays Only",WORKDAY(I9,1,'Setup ⚙️'!$AF$8:$AF$51),WORKDAY.INTL(I9,1,"0000000",'Setup ⚙️'!$AF$8:$AF$51))</f>
        <v>3</v>
      </c>
      <c r="K9" s="99">
        <f>IF( 'Setup ⚙️'!$C$26 = "Show Weekdays Only",WORKDAY(J9,1,'Setup ⚙️'!$AF$8:$AF$51),WORKDAY.INTL(J9,1,"0000000",'Setup ⚙️'!$AF$8:$AF$51))</f>
        <v>4</v>
      </c>
      <c r="L9" s="99">
        <f>IF( 'Setup ⚙️'!$C$26 = "Show Weekdays Only",WORKDAY(K9,1,'Setup ⚙️'!$AF$8:$AF$51),WORKDAY.INTL(K9,1,"0000000",'Setup ⚙️'!$AF$8:$AF$51))</f>
        <v>5</v>
      </c>
      <c r="M9" s="99">
        <f>IF( 'Setup ⚙️'!$C$26 = "Show Weekdays Only",WORKDAY(L9,1,'Setup ⚙️'!$AF$8:$AF$51),WORKDAY.INTL(L9,1,"0000000",'Setup ⚙️'!$AF$8:$AF$51))</f>
        <v>6</v>
      </c>
      <c r="N9" s="99">
        <f>IF( 'Setup ⚙️'!$C$26 = "Show Weekdays Only",WORKDAY(M9,1,'Setup ⚙️'!$AF$8:$AF$51),WORKDAY.INTL(M9,1,"0000000",'Setup ⚙️'!$AF$8:$AF$51))</f>
        <v>9</v>
      </c>
      <c r="O9" s="99">
        <f>IF( 'Setup ⚙️'!$C$26 = "Show Weekdays Only",WORKDAY(N9,1,'Setup ⚙️'!$AF$8:$AF$51),WORKDAY.INTL(N9,1,"0000000",'Setup ⚙️'!$AF$8:$AF$51))</f>
        <v>10</v>
      </c>
      <c r="P9" s="99">
        <f>IF( 'Setup ⚙️'!$C$26 = "Show Weekdays Only",WORKDAY(O9,1,'Setup ⚙️'!$AF$8:$AF$51),WORKDAY.INTL(O9,1,"0000000",'Setup ⚙️'!$AF$8:$AF$51))</f>
        <v>11</v>
      </c>
      <c r="Q9" s="99">
        <f>IF( 'Setup ⚙️'!$C$26 = "Show Weekdays Only",WORKDAY(P9,1,'Setup ⚙️'!$AF$8:$AF$51),WORKDAY.INTL(P9,1,"0000000",'Setup ⚙️'!$AF$8:$AF$51))</f>
        <v>12</v>
      </c>
      <c r="R9" s="99">
        <f>IF( 'Setup ⚙️'!$C$26 = "Show Weekdays Only",WORKDAY(Q9,1,'Setup ⚙️'!$AF$8:$AF$51),WORKDAY.INTL(Q9,1,"0000000",'Setup ⚙️'!$AF$8:$AF$51))</f>
        <v>13</v>
      </c>
      <c r="S9" s="99">
        <f>IF( 'Setup ⚙️'!$C$26 = "Show Weekdays Only",WORKDAY(R9,1,'Setup ⚙️'!$AF$8:$AF$51),WORKDAY.INTL(R9,1,"0000000",'Setup ⚙️'!$AF$8:$AF$51))</f>
        <v>16</v>
      </c>
      <c r="T9" s="99">
        <f>IF( 'Setup ⚙️'!$C$26 = "Show Weekdays Only",WORKDAY(S9,1,'Setup ⚙️'!$AF$8:$AF$51),WORKDAY.INTL(S9,1,"0000000",'Setup ⚙️'!$AF$8:$AF$51))</f>
        <v>17</v>
      </c>
      <c r="U9" s="99">
        <f>IF( 'Setup ⚙️'!$C$26 = "Show Weekdays Only",WORKDAY(T9,1,'Setup ⚙️'!$AF$8:$AF$51),WORKDAY.INTL(T9,1,"0000000",'Setup ⚙️'!$AF$8:$AF$51))</f>
        <v>18</v>
      </c>
      <c r="V9" s="99">
        <f>IF( 'Setup ⚙️'!$C$26 = "Show Weekdays Only",WORKDAY(U9,1,'Setup ⚙️'!$AF$8:$AF$51),WORKDAY.INTL(U9,1,"0000000",'Setup ⚙️'!$AF$8:$AF$51))</f>
        <v>19</v>
      </c>
      <c r="W9" s="99">
        <f>IF( 'Setup ⚙️'!$C$26 = "Show Weekdays Only",WORKDAY(V9,1,'Setup ⚙️'!$AF$8:$AF$51),WORKDAY.INTL(V9,1,"0000000",'Setup ⚙️'!$AF$8:$AF$51))</f>
        <v>20</v>
      </c>
      <c r="X9" s="99">
        <f>IF( 'Setup ⚙️'!$C$26 = "Show Weekdays Only",WORKDAY(W9,1,'Setup ⚙️'!$AF$8:$AF$51),WORKDAY.INTL(W9,1,"0000000",'Setup ⚙️'!$AF$8:$AF$51))</f>
        <v>23</v>
      </c>
      <c r="Y9" s="99">
        <f>IF( 'Setup ⚙️'!$C$26 = "Show Weekdays Only",WORKDAY(X9,1,'Setup ⚙️'!$AF$8:$AF$51),WORKDAY.INTL(X9,1,"0000000",'Setup ⚙️'!$AF$8:$AF$51))</f>
        <v>24</v>
      </c>
      <c r="Z9" s="99">
        <f>IF( 'Setup ⚙️'!$C$26 = "Show Weekdays Only",WORKDAY(Y9,1,'Setup ⚙️'!$AF$8:$AF$51),WORKDAY.INTL(Y9,1,"0000000",'Setup ⚙️'!$AF$8:$AF$51))</f>
        <v>25</v>
      </c>
      <c r="AA9" s="99">
        <f>IF( 'Setup ⚙️'!$C$26 = "Show Weekdays Only",WORKDAY(Z9,1,'Setup ⚙️'!$AF$8:$AF$51),WORKDAY.INTL(Z9,1,"0000000",'Setup ⚙️'!$AF$8:$AF$51))</f>
        <v>26</v>
      </c>
      <c r="AB9" s="99">
        <f>IF( 'Setup ⚙️'!$C$26 = "Show Weekdays Only",WORKDAY(AA9,1,'Setup ⚙️'!$AF$8:$AF$51),WORKDAY.INTL(AA9,1,"0000000",'Setup ⚙️'!$AF$8:$AF$51))</f>
        <v>27</v>
      </c>
      <c r="AC9" s="99">
        <f>IF( 'Setup ⚙️'!$C$26 = "Show Weekdays Only",WORKDAY(AB9,1,'Setup ⚙️'!$AF$8:$AF$51),WORKDAY.INTL(AB9,1,"0000000",'Setup ⚙️'!$AF$8:$AF$51))</f>
        <v>30</v>
      </c>
      <c r="AD9" s="99">
        <f>IF( 'Setup ⚙️'!$C$26 = "Show Weekdays Only",WORKDAY(AC9,1,'Setup ⚙️'!$AF$8:$AF$51),WORKDAY.INTL(AC9,1,"0000000",'Setup ⚙️'!$AF$8:$AF$51))</f>
        <v>31</v>
      </c>
      <c r="AE9" s="99">
        <f>IF( 'Setup ⚙️'!$C$26 = "Show Weekdays Only",WORKDAY(AD9,1,'Setup ⚙️'!$AF$8:$AF$51),WORKDAY.INTL(AD9,1,"0000000",'Setup ⚙️'!$AF$8:$AF$51))</f>
        <v>32</v>
      </c>
      <c r="AF9" s="99">
        <f>IF( 'Setup ⚙️'!$C$26 = "Show Weekdays Only",WORKDAY(AE9,1,'Setup ⚙️'!$AF$8:$AF$51),WORKDAY.INTL(AE9,1,"0000000",'Setup ⚙️'!$AF$8:$AF$51))</f>
        <v>33</v>
      </c>
      <c r="AG9" s="99">
        <f>IF( 'Setup ⚙️'!$C$26 = "Show Weekdays Only",WORKDAY(AF9,1,'Setup ⚙️'!$AF$8:$AF$51),WORKDAY.INTL(AF9,1,"0000000",'Setup ⚙️'!$AF$8:$AF$51))</f>
        <v>34</v>
      </c>
      <c r="AH9" s="99">
        <f>IF( 'Setup ⚙️'!$C$26 = "Show Weekdays Only",WORKDAY(AG9,1,'Setup ⚙️'!$AF$8:$AF$51),WORKDAY.INTL(AG9,1,"0000000",'Setup ⚙️'!$AF$8:$AF$51))</f>
        <v>37</v>
      </c>
      <c r="AI9" s="99">
        <f>IF( 'Setup ⚙️'!$C$26 = "Show Weekdays Only",WORKDAY(AH9,1,'Setup ⚙️'!$AF$8:$AF$51),WORKDAY.INTL(AH9,1,"0000000",'Setup ⚙️'!$AF$8:$AF$51))</f>
        <v>38</v>
      </c>
      <c r="AJ9" s="99">
        <f>IF( 'Setup ⚙️'!$C$26 = "Show Weekdays Only",WORKDAY(AI9,1,'Setup ⚙️'!$AF$8:$AF$51),WORKDAY.INTL(AI9,1,"0000000",'Setup ⚙️'!$AF$8:$AF$51))</f>
        <v>39</v>
      </c>
      <c r="AK9" s="99">
        <f>IF( 'Setup ⚙️'!$C$26 = "Show Weekdays Only",WORKDAY(AJ9,1,'Setup ⚙️'!$AF$8:$AF$51),WORKDAY.INTL(AJ9,1,"0000000",'Setup ⚙️'!$AF$8:$AF$51))</f>
        <v>40</v>
      </c>
      <c r="AL9" s="99">
        <f>IF( 'Setup ⚙️'!$C$26 = "Show Weekdays Only",WORKDAY(AK9,1,'Setup ⚙️'!$AF$8:$AF$51),WORKDAY.INTL(AK9,1,"0000000",'Setup ⚙️'!$AF$8:$AF$51))</f>
        <v>41</v>
      </c>
      <c r="AM9" s="99">
        <f>IF( 'Setup ⚙️'!$C$26 = "Show Weekdays Only",WORKDAY(AL9,1,'Setup ⚙️'!$AF$8:$AF$51),WORKDAY.INTL(AL9,1,"0000000",'Setup ⚙️'!$AF$8:$AF$51))</f>
        <v>44</v>
      </c>
      <c r="AN9" s="99">
        <f>IF( 'Setup ⚙️'!$C$26 = "Show Weekdays Only",WORKDAY(AM9,1,'Setup ⚙️'!$AF$8:$AF$51),WORKDAY.INTL(AM9,1,"0000000",'Setup ⚙️'!$AF$8:$AF$51))</f>
        <v>45</v>
      </c>
      <c r="AO9" s="99">
        <f>IF( 'Setup ⚙️'!$C$26 = "Show Weekdays Only",WORKDAY(AN9,1,'Setup ⚙️'!$AF$8:$AF$51),WORKDAY.INTL(AN9,1,"0000000",'Setup ⚙️'!$AF$8:$AF$51))</f>
        <v>46</v>
      </c>
      <c r="AP9" s="99">
        <f>IF( 'Setup ⚙️'!$C$26 = "Show Weekdays Only",WORKDAY(AO9,1,'Setup ⚙️'!$AF$8:$AF$51),WORKDAY.INTL(AO9,1,"0000000",'Setup ⚙️'!$AF$8:$AF$51))</f>
        <v>47</v>
      </c>
      <c r="AQ9" s="99">
        <f>IF( 'Setup ⚙️'!$C$26 = "Show Weekdays Only",WORKDAY(AP9,1,'Setup ⚙️'!$AF$8:$AF$51),WORKDAY.INTL(AP9,1,"0000000",'Setup ⚙️'!$AF$8:$AF$51))</f>
        <v>48</v>
      </c>
      <c r="AR9" s="99">
        <f>IF( 'Setup ⚙️'!$C$26 = "Show Weekdays Only",WORKDAY(AQ9,1,'Setup ⚙️'!$AF$8:$AF$51),WORKDAY.INTL(AQ9,1,"0000000",'Setup ⚙️'!$AF$8:$AF$51))</f>
        <v>51</v>
      </c>
      <c r="AS9" s="99">
        <f>IF( 'Setup ⚙️'!$C$26 = "Show Weekdays Only",WORKDAY(AR9,1,'Setup ⚙️'!$AF$8:$AF$51),WORKDAY.INTL(AR9,1,"0000000",'Setup ⚙️'!$AF$8:$AF$51))</f>
        <v>52</v>
      </c>
      <c r="AT9" s="99">
        <f>IF( 'Setup ⚙️'!$C$26 = "Show Weekdays Only",WORKDAY(AS9,1,'Setup ⚙️'!$AF$8:$AF$51),WORKDAY.INTL(AS9,1,"0000000",'Setup ⚙️'!$AF$8:$AF$51))</f>
        <v>53</v>
      </c>
      <c r="AU9" s="99">
        <f>IF( 'Setup ⚙️'!$C$26 = "Show Weekdays Only",WORKDAY(AT9,1,'Setup ⚙️'!$AF$8:$AF$51),WORKDAY.INTL(AT9,1,"0000000",'Setup ⚙️'!$AF$8:$AF$51))</f>
        <v>54</v>
      </c>
      <c r="AV9" s="99">
        <f>IF( 'Setup ⚙️'!$C$26 = "Show Weekdays Only",WORKDAY(AU9,1,'Setup ⚙️'!$AF$8:$AF$51),WORKDAY.INTL(AU9,1,"0000000",'Setup ⚙️'!$AF$8:$AF$51))</f>
        <v>55</v>
      </c>
      <c r="AW9" s="99">
        <f>IF( 'Setup ⚙️'!$C$26 = "Show Weekdays Only",WORKDAY(AV9,1,'Setup ⚙️'!$AF$8:$AF$51),WORKDAY.INTL(AV9,1,"0000000",'Setup ⚙️'!$AF$8:$AF$51))</f>
        <v>58</v>
      </c>
      <c r="AX9" s="99">
        <f>IF( 'Setup ⚙️'!$C$26 = "Show Weekdays Only",WORKDAY(AW9,1,'Setup ⚙️'!$AF$8:$AF$51),WORKDAY.INTL(AW9,1,"0000000",'Setup ⚙️'!$AF$8:$AF$51))</f>
        <v>59</v>
      </c>
      <c r="AY9" s="99">
        <f>IF( 'Setup ⚙️'!$C$26 = "Show Weekdays Only",WORKDAY(AX9,1,'Setup ⚙️'!$AF$8:$AF$51),WORKDAY.INTL(AX9,1,"0000000",'Setup ⚙️'!$AF$8:$AF$51))</f>
        <v>60</v>
      </c>
      <c r="AZ9" s="99">
        <f>IF( 'Setup ⚙️'!$C$26 = "Show Weekdays Only",WORKDAY(AY9,1,'Setup ⚙️'!$AF$8:$AF$51),WORKDAY.INTL(AY9,1,"0000000",'Setup ⚙️'!$AF$8:$AF$51))</f>
        <v>61</v>
      </c>
      <c r="BA9" s="99">
        <f>IF( 'Setup ⚙️'!$C$26 = "Show Weekdays Only",WORKDAY(AZ9,1,'Setup ⚙️'!$AF$8:$AF$51),WORKDAY.INTL(AZ9,1,"0000000",'Setup ⚙️'!$AF$8:$AF$51))</f>
        <v>62</v>
      </c>
      <c r="BB9" s="99">
        <f>IF( 'Setup ⚙️'!$C$26 = "Show Weekdays Only",WORKDAY(BA9,1,'Setup ⚙️'!$AF$8:$AF$51),WORKDAY.INTL(BA9,1,"0000000",'Setup ⚙️'!$AF$8:$AF$51))</f>
        <v>65</v>
      </c>
      <c r="BC9" s="99">
        <f>IF( 'Setup ⚙️'!$C$26 = "Show Weekdays Only",WORKDAY(BB9,1,'Setup ⚙️'!$AF$8:$AF$51),WORKDAY.INTL(BB9,1,"0000000",'Setup ⚙️'!$AF$8:$AF$51))</f>
        <v>66</v>
      </c>
      <c r="BD9" s="99">
        <f>IF( 'Setup ⚙️'!$C$26 = "Show Weekdays Only",WORKDAY(BC9,1,'Setup ⚙️'!$AF$8:$AF$51),WORKDAY.INTL(BC9,1,"0000000",'Setup ⚙️'!$AF$8:$AF$51))</f>
        <v>67</v>
      </c>
      <c r="BE9" s="99">
        <f>IF( 'Setup ⚙️'!$C$26 = "Show Weekdays Only",WORKDAY(BD9,1,'Setup ⚙️'!$AF$8:$AF$51),WORKDAY.INTL(BD9,1,"0000000",'Setup ⚙️'!$AF$8:$AF$51))</f>
        <v>68</v>
      </c>
      <c r="BF9" s="99">
        <f>IF( 'Setup ⚙️'!$C$26 = "Show Weekdays Only",WORKDAY(BE9,1,'Setup ⚙️'!$AF$8:$AF$51),WORKDAY.INTL(BE9,1,"0000000",'Setup ⚙️'!$AF$8:$AF$51))</f>
        <v>69</v>
      </c>
      <c r="BG9" s="99">
        <f>IF( 'Setup ⚙️'!$C$26 = "Show Weekdays Only",WORKDAY(BF9,1,'Setup ⚙️'!$AF$8:$AF$51),WORKDAY.INTL(BF9,1,"0000000",'Setup ⚙️'!$AF$8:$AF$51))</f>
        <v>72</v>
      </c>
      <c r="BH9" s="99">
        <f>IF( 'Setup ⚙️'!$C$26 = "Show Weekdays Only",WORKDAY(BG9,1,'Setup ⚙️'!$AF$8:$AF$51),WORKDAY.INTL(BG9,1,"0000000",'Setup ⚙️'!$AF$8:$AF$51))</f>
        <v>73</v>
      </c>
      <c r="BI9" s="99">
        <f>IF( 'Setup ⚙️'!$C$26 = "Show Weekdays Only",WORKDAY(BH9,1,'Setup ⚙️'!$AF$8:$AF$51),WORKDAY.INTL(BH9,1,"0000000",'Setup ⚙️'!$AF$8:$AF$51))</f>
        <v>74</v>
      </c>
      <c r="BJ9" s="99">
        <f>IF( 'Setup ⚙️'!$C$26 = "Show Weekdays Only",WORKDAY(BI9,1,'Setup ⚙️'!$AF$8:$AF$51),WORKDAY.INTL(BI9,1,"0000000",'Setup ⚙️'!$AF$8:$AF$51))</f>
        <v>75</v>
      </c>
      <c r="BK9" s="99">
        <f>IF( 'Setup ⚙️'!$C$26 = "Show Weekdays Only",WORKDAY(BJ9,1,'Setup ⚙️'!$AF$8:$AF$51),WORKDAY.INTL(BJ9,1,"0000000",'Setup ⚙️'!$AF$8:$AF$51))</f>
        <v>76</v>
      </c>
      <c r="BL9" s="99">
        <f>IF( 'Setup ⚙️'!$C$26 = "Show Weekdays Only",WORKDAY(BK9,1,'Setup ⚙️'!$AF$8:$AF$51),WORKDAY.INTL(BK9,1,"0000000",'Setup ⚙️'!$AF$8:$AF$51))</f>
        <v>79</v>
      </c>
      <c r="BM9" s="99">
        <f>IF( 'Setup ⚙️'!$C$26 = "Show Weekdays Only",WORKDAY(BL9,1,'Setup ⚙️'!$AF$8:$AF$51),WORKDAY.INTL(BL9,1,"0000000",'Setup ⚙️'!$AF$8:$AF$51))</f>
        <v>80</v>
      </c>
      <c r="BN9" s="99">
        <f>IF( 'Setup ⚙️'!$C$26 = "Show Weekdays Only",WORKDAY(BM9,1,'Setup ⚙️'!$AF$8:$AF$51),WORKDAY.INTL(BM9,1,"0000000",'Setup ⚙️'!$AF$8:$AF$51))</f>
        <v>81</v>
      </c>
      <c r="BO9" s="99">
        <f>IF( 'Setup ⚙️'!$C$26 = "Show Weekdays Only",WORKDAY(BN9,1,'Setup ⚙️'!$AF$8:$AF$51),WORKDAY.INTL(BN9,1,"0000000",'Setup ⚙️'!$AF$8:$AF$51))</f>
        <v>82</v>
      </c>
      <c r="BP9" s="99">
        <f>IF( 'Setup ⚙️'!$C$26 = "Show Weekdays Only",WORKDAY(BO9,1,'Setup ⚙️'!$AF$8:$AF$51),WORKDAY.INTL(BO9,1,"0000000",'Setup ⚙️'!$AF$8:$AF$51))</f>
        <v>83</v>
      </c>
      <c r="BQ9" s="99">
        <f>IF( 'Setup ⚙️'!$C$26 = "Show Weekdays Only",WORKDAY(BP9,1,'Setup ⚙️'!$AF$8:$AF$51),WORKDAY.INTL(BP9,1,"0000000",'Setup ⚙️'!$AF$8:$AF$51))</f>
        <v>86</v>
      </c>
      <c r="BR9" s="99">
        <f>IF( 'Setup ⚙️'!$C$26 = "Show Weekdays Only",WORKDAY(BQ9,1,'Setup ⚙️'!$AF$8:$AF$51),WORKDAY.INTL(BQ9,1,"0000000",'Setup ⚙️'!$AF$8:$AF$51))</f>
        <v>87</v>
      </c>
      <c r="BS9" s="99">
        <f>IF( 'Setup ⚙️'!$C$26 = "Show Weekdays Only",WORKDAY(BR9,1,'Setup ⚙️'!$AF$8:$AF$51),WORKDAY.INTL(BR9,1,"0000000",'Setup ⚙️'!$AF$8:$AF$51))</f>
        <v>88</v>
      </c>
      <c r="BT9" s="99">
        <f>IF( 'Setup ⚙️'!$C$26 = "Show Weekdays Only",WORKDAY(BS9,1,'Setup ⚙️'!$AF$8:$AF$51),WORKDAY.INTL(BS9,1,"0000000",'Setup ⚙️'!$AF$8:$AF$51))</f>
        <v>89</v>
      </c>
      <c r="BU9" s="99">
        <f>IF( 'Setup ⚙️'!$C$26 = "Show Weekdays Only",WORKDAY(BT9,1,'Setup ⚙️'!$AF$8:$AF$51),WORKDAY.INTL(BT9,1,"0000000",'Setup ⚙️'!$AF$8:$AF$51))</f>
        <v>90</v>
      </c>
      <c r="BV9" s="99">
        <f>IF( 'Setup ⚙️'!$C$26 = "Show Weekdays Only",WORKDAY(BU9,1,'Setup ⚙️'!$AF$8:$AF$51),WORKDAY.INTL(BU9,1,"0000000",'Setup ⚙️'!$AF$8:$AF$51))</f>
        <v>93</v>
      </c>
      <c r="BW9" s="99">
        <f>IF( 'Setup ⚙️'!$C$26 = "Show Weekdays Only",WORKDAY(BV9,1,'Setup ⚙️'!$AF$8:$AF$51),WORKDAY.INTL(BV9,1,"0000000",'Setup ⚙️'!$AF$8:$AF$51))</f>
        <v>94</v>
      </c>
      <c r="BX9" s="99">
        <f>IF( 'Setup ⚙️'!$C$26 = "Show Weekdays Only",WORKDAY(BW9,1,'Setup ⚙️'!$AF$8:$AF$51),WORKDAY.INTL(BW9,1,"0000000",'Setup ⚙️'!$AF$8:$AF$51))</f>
        <v>95</v>
      </c>
      <c r="BY9" s="99">
        <f>IF( 'Setup ⚙️'!$C$26 = "Show Weekdays Only",WORKDAY(BX9,1,'Setup ⚙️'!$AF$8:$AF$51),WORKDAY.INTL(BX9,1,"0000000",'Setup ⚙️'!$AF$8:$AF$51))</f>
        <v>96</v>
      </c>
      <c r="BZ9" s="99">
        <f>IF( 'Setup ⚙️'!$C$26 = "Show Weekdays Only",WORKDAY(BY9,1,'Setup ⚙️'!$AF$8:$AF$51),WORKDAY.INTL(BY9,1,"0000000",'Setup ⚙️'!$AF$8:$AF$51))</f>
        <v>97</v>
      </c>
      <c r="CA9" s="99">
        <f>IF( 'Setup ⚙️'!$C$26 = "Show Weekdays Only",WORKDAY(BZ9,1,'Setup ⚙️'!$AF$8:$AF$51),WORKDAY.INTL(BZ9,1,"0000000",'Setup ⚙️'!$AF$8:$AF$51))</f>
        <v>100</v>
      </c>
      <c r="CB9" s="99">
        <f>IF( 'Setup ⚙️'!$C$26 = "Show Weekdays Only",WORKDAY(CA9,1,'Setup ⚙️'!$AF$8:$AF$51),WORKDAY.INTL(CA9,1,"0000000",'Setup ⚙️'!$AF$8:$AF$51))</f>
        <v>101</v>
      </c>
      <c r="CC9" s="99">
        <f>IF( 'Setup ⚙️'!$C$26 = "Show Weekdays Only",WORKDAY(CB9,1,'Setup ⚙️'!$AF$8:$AF$51),WORKDAY.INTL(CB9,1,"0000000",'Setup ⚙️'!$AF$8:$AF$51))</f>
        <v>102</v>
      </c>
      <c r="CD9" s="99">
        <f>IF( 'Setup ⚙️'!$C$26 = "Show Weekdays Only",WORKDAY(CC9,1,'Setup ⚙️'!$AF$8:$AF$51),WORKDAY.INTL(CC9,1,"0000000",'Setup ⚙️'!$AF$8:$AF$51))</f>
        <v>103</v>
      </c>
      <c r="CE9" s="99">
        <f>IF( 'Setup ⚙️'!$C$26 = "Show Weekdays Only",WORKDAY(CD9,1,'Setup ⚙️'!$AF$8:$AF$51),WORKDAY.INTL(CD9,1,"0000000",'Setup ⚙️'!$AF$8:$AF$51))</f>
        <v>104</v>
      </c>
      <c r="CF9" s="99">
        <f>IF( 'Setup ⚙️'!$C$26 = "Show Weekdays Only",WORKDAY(CE9,1,'Setup ⚙️'!$AF$8:$AF$51),WORKDAY.INTL(CE9,1,"0000000",'Setup ⚙️'!$AF$8:$AF$51))</f>
        <v>107</v>
      </c>
      <c r="CG9" s="99">
        <f>IF( 'Setup ⚙️'!$C$26 = "Show Weekdays Only",WORKDAY(CF9,1,'Setup ⚙️'!$AF$8:$AF$51),WORKDAY.INTL(CF9,1,"0000000",'Setup ⚙️'!$AF$8:$AF$51))</f>
        <v>108</v>
      </c>
      <c r="CH9" s="99">
        <f>IF( 'Setup ⚙️'!$C$26 = "Show Weekdays Only",WORKDAY(CG9,1,'Setup ⚙️'!$AF$8:$AF$51),WORKDAY.INTL(CG9,1,"0000000",'Setup ⚙️'!$AF$8:$AF$51))</f>
        <v>109</v>
      </c>
      <c r="CI9" s="99">
        <f>IF( 'Setup ⚙️'!$C$26 = "Show Weekdays Only",WORKDAY(CH9,1,'Setup ⚙️'!$AF$8:$AF$51),WORKDAY.INTL(CH9,1,"0000000",'Setup ⚙️'!$AF$8:$AF$51))</f>
        <v>110</v>
      </c>
      <c r="CJ9" s="99">
        <f>IF( 'Setup ⚙️'!$C$26 = "Show Weekdays Only",WORKDAY(CI9,1,'Setup ⚙️'!$AF$8:$AF$51),WORKDAY.INTL(CI9,1,"0000000",'Setup ⚙️'!$AF$8:$AF$51))</f>
        <v>111</v>
      </c>
      <c r="CK9" s="99">
        <f>IF( 'Setup ⚙️'!$C$26 = "Show Weekdays Only",WORKDAY(CJ9,1,'Setup ⚙️'!$AF$8:$AF$51),WORKDAY.INTL(CJ9,1,"0000000",'Setup ⚙️'!$AF$8:$AF$51))</f>
        <v>114</v>
      </c>
      <c r="CL9" s="99">
        <f>IF( 'Setup ⚙️'!$C$26 = "Show Weekdays Only",WORKDAY(CK9,1,'Setup ⚙️'!$AF$8:$AF$51),WORKDAY.INTL(CK9,1,"0000000",'Setup ⚙️'!$AF$8:$AF$51))</f>
        <v>115</v>
      </c>
      <c r="CM9" s="99">
        <f>IF( 'Setup ⚙️'!$C$26 = "Show Weekdays Only",WORKDAY(CL9,1,'Setup ⚙️'!$AF$8:$AF$51),WORKDAY.INTL(CL9,1,"0000000",'Setup ⚙️'!$AF$8:$AF$51))</f>
        <v>116</v>
      </c>
      <c r="CN9" s="99">
        <f>IF( 'Setup ⚙️'!$C$26 = "Show Weekdays Only",WORKDAY(CM9,1,'Setup ⚙️'!$AF$8:$AF$51),WORKDAY.INTL(CM9,1,"0000000",'Setup ⚙️'!$AF$8:$AF$51))</f>
        <v>117</v>
      </c>
      <c r="CO9" s="99">
        <f>IF( 'Setup ⚙️'!$C$26 = "Show Weekdays Only",WORKDAY(CN9,1,'Setup ⚙️'!$AF$8:$AF$51),WORKDAY.INTL(CN9,1,"0000000",'Setup ⚙️'!$AF$8:$AF$51))</f>
        <v>118</v>
      </c>
      <c r="CP9" s="99">
        <f>IF( 'Setup ⚙️'!$C$26 = "Show Weekdays Only",WORKDAY(CO9,1,'Setup ⚙️'!$AF$8:$AF$51),WORKDAY.INTL(CO9,1,"0000000",'Setup ⚙️'!$AF$8:$AF$51))</f>
        <v>121</v>
      </c>
      <c r="CQ9" s="99">
        <f>IF( 'Setup ⚙️'!$C$26 = "Show Weekdays Only",WORKDAY(CP9,1,'Setup ⚙️'!$AF$8:$AF$51),WORKDAY.INTL(CP9,1,"0000000",'Setup ⚙️'!$AF$8:$AF$51))</f>
        <v>122</v>
      </c>
      <c r="CR9" s="99">
        <f>IF( 'Setup ⚙️'!$C$26 = "Show Weekdays Only",WORKDAY(CQ9,1,'Setup ⚙️'!$AF$8:$AF$51),WORKDAY.INTL(CQ9,1,"0000000",'Setup ⚙️'!$AF$8:$AF$51))</f>
        <v>123</v>
      </c>
      <c r="CS9" s="99">
        <f>IF( 'Setup ⚙️'!$C$26 = "Show Weekdays Only",WORKDAY(CR9,1,'Setup ⚙️'!$AF$8:$AF$51),WORKDAY.INTL(CR9,1,"0000000",'Setup ⚙️'!$AF$8:$AF$51))</f>
        <v>124</v>
      </c>
      <c r="CT9" s="99">
        <f>IF( 'Setup ⚙️'!$C$26 = "Show Weekdays Only",WORKDAY(CS9,1,'Setup ⚙️'!$AF$8:$AF$51),WORKDAY.INTL(CS9,1,"0000000",'Setup ⚙️'!$AF$8:$AF$51))</f>
        <v>125</v>
      </c>
      <c r="CU9" s="99">
        <f>IF( 'Setup ⚙️'!$C$26 = "Show Weekdays Only",WORKDAY(CT9,1,'Setup ⚙️'!$AF$8:$AF$51),WORKDAY.INTL(CT9,1,"0000000",'Setup ⚙️'!$AF$8:$AF$51))</f>
        <v>128</v>
      </c>
      <c r="CV9" s="99">
        <f>IF( 'Setup ⚙️'!$C$26 = "Show Weekdays Only",WORKDAY(CU9,1,'Setup ⚙️'!$AF$8:$AF$51),WORKDAY.INTL(CU9,1,"0000000",'Setup ⚙️'!$AF$8:$AF$51))</f>
        <v>129</v>
      </c>
      <c r="CW9" s="99">
        <f>IF( 'Setup ⚙️'!$C$26 = "Show Weekdays Only",WORKDAY(CV9,1,'Setup ⚙️'!$AF$8:$AF$51),WORKDAY.INTL(CV9,1,"0000000",'Setup ⚙️'!$AF$8:$AF$51))</f>
        <v>130</v>
      </c>
      <c r="CX9" s="99">
        <f>IF( 'Setup ⚙️'!$C$26 = "Show Weekdays Only",WORKDAY(CW9,1,'Setup ⚙️'!$AF$8:$AF$51),WORKDAY.INTL(CW9,1,"0000000",'Setup ⚙️'!$AF$8:$AF$51))</f>
        <v>131</v>
      </c>
      <c r="CY9" s="99">
        <f>IF( 'Setup ⚙️'!$C$26 = "Show Weekdays Only",WORKDAY(CX9,1,'Setup ⚙️'!$AF$8:$AF$51),WORKDAY.INTL(CX9,1,"0000000",'Setup ⚙️'!$AF$8:$AF$51))</f>
        <v>132</v>
      </c>
      <c r="CZ9" s="99">
        <f>IF( 'Setup ⚙️'!$C$26 = "Show Weekdays Only",WORKDAY(CY9,1,'Setup ⚙️'!$AF$8:$AF$51),WORKDAY.INTL(CY9,1,"0000000",'Setup ⚙️'!$AF$8:$AF$51))</f>
        <v>135</v>
      </c>
      <c r="DA9" s="99">
        <f>IF( 'Setup ⚙️'!$C$26 = "Show Weekdays Only",WORKDAY(CZ9,1,'Setup ⚙️'!$AF$8:$AF$51),WORKDAY.INTL(CZ9,1,"0000000",'Setup ⚙️'!$AF$8:$AF$51))</f>
        <v>136</v>
      </c>
      <c r="DB9" s="99">
        <f>IF( 'Setup ⚙️'!$C$26 = "Show Weekdays Only",WORKDAY(DA9,1,'Setup ⚙️'!$AF$8:$AF$51),WORKDAY.INTL(DA9,1,"0000000",'Setup ⚙️'!$AF$8:$AF$51))</f>
        <v>137</v>
      </c>
      <c r="DC9" s="99">
        <f>IF( 'Setup ⚙️'!$C$26 = "Show Weekdays Only",WORKDAY(DB9,1,'Setup ⚙️'!$AF$8:$AF$51),WORKDAY.INTL(DB9,1,"0000000",'Setup ⚙️'!$AF$8:$AF$51))</f>
        <v>138</v>
      </c>
      <c r="DD9" s="99">
        <f>IF( 'Setup ⚙️'!$C$26 = "Show Weekdays Only",WORKDAY(DC9,1,'Setup ⚙️'!$AF$8:$AF$51),WORKDAY.INTL(DC9,1,"0000000",'Setup ⚙️'!$AF$8:$AF$51))</f>
        <v>139</v>
      </c>
      <c r="DE9" s="99">
        <f>IF( 'Setup ⚙️'!$C$26 = "Show Weekdays Only",WORKDAY(DD9,1,'Setup ⚙️'!$AF$8:$AF$51),WORKDAY.INTL(DD9,1,"0000000",'Setup ⚙️'!$AF$8:$AF$51))</f>
        <v>142</v>
      </c>
      <c r="DF9" s="99">
        <f>IF( 'Setup ⚙️'!$C$26 = "Show Weekdays Only",WORKDAY(DE9,1,'Setup ⚙️'!$AF$8:$AF$51),WORKDAY.INTL(DE9,1,"0000000",'Setup ⚙️'!$AF$8:$AF$51))</f>
        <v>143</v>
      </c>
      <c r="DG9" s="99">
        <f>IF( 'Setup ⚙️'!$C$26 = "Show Weekdays Only",WORKDAY(DF9,1,'Setup ⚙️'!$AF$8:$AF$51),WORKDAY.INTL(DF9,1,"0000000",'Setup ⚙️'!$AF$8:$AF$51))</f>
        <v>144</v>
      </c>
      <c r="DH9" s="99">
        <f>IF( 'Setup ⚙️'!$C$26 = "Show Weekdays Only",WORKDAY(DG9,1,'Setup ⚙️'!$AF$8:$AF$51),WORKDAY.INTL(DG9,1,"0000000",'Setup ⚙️'!$AF$8:$AF$51))</f>
        <v>145</v>
      </c>
      <c r="DI9" s="99">
        <f>IF( 'Setup ⚙️'!$C$26 = "Show Weekdays Only",WORKDAY(DH9,1,'Setup ⚙️'!$AF$8:$AF$51),WORKDAY.INTL(DH9,1,"0000000",'Setup ⚙️'!$AF$8:$AF$51))</f>
        <v>146</v>
      </c>
      <c r="DJ9" s="99">
        <f>IF( 'Setup ⚙️'!$C$26 = "Show Weekdays Only",WORKDAY(DI9,1,'Setup ⚙️'!$AF$8:$AF$51),WORKDAY.INTL(DI9,1,"0000000",'Setup ⚙️'!$AF$8:$AF$51))</f>
        <v>149</v>
      </c>
      <c r="DK9" s="99">
        <f>IF( 'Setup ⚙️'!$C$26 = "Show Weekdays Only",WORKDAY(DJ9,1,'Setup ⚙️'!$AF$8:$AF$51),WORKDAY.INTL(DJ9,1,"0000000",'Setup ⚙️'!$AF$8:$AF$51))</f>
        <v>150</v>
      </c>
      <c r="DL9" s="99">
        <f>IF( 'Setup ⚙️'!$C$26 = "Show Weekdays Only",WORKDAY(DK9,1,'Setup ⚙️'!$AF$8:$AF$51),WORKDAY.INTL(DK9,1,"0000000",'Setup ⚙️'!$AF$8:$AF$51))</f>
        <v>151</v>
      </c>
      <c r="DM9" s="99">
        <f>IF( 'Setup ⚙️'!$C$26 = "Show Weekdays Only",WORKDAY(DL9,1,'Setup ⚙️'!$AF$8:$AF$51),WORKDAY.INTL(DL9,1,"0000000",'Setup ⚙️'!$AF$8:$AF$51))</f>
        <v>152</v>
      </c>
      <c r="DN9" s="99">
        <f>IF( 'Setup ⚙️'!$C$26 = "Show Weekdays Only",WORKDAY(DM9,1,'Setup ⚙️'!$AF$8:$AF$51),WORKDAY.INTL(DM9,1,"0000000",'Setup ⚙️'!$AF$8:$AF$51))</f>
        <v>153</v>
      </c>
      <c r="DO9" s="99">
        <f>IF( 'Setup ⚙️'!$C$26 = "Show Weekdays Only",WORKDAY(DN9,1,'Setup ⚙️'!$AF$8:$AF$51),WORKDAY.INTL(DN9,1,"0000000",'Setup ⚙️'!$AF$8:$AF$51))</f>
        <v>156</v>
      </c>
      <c r="DP9" s="99">
        <f>IF( 'Setup ⚙️'!$C$26 = "Show Weekdays Only",WORKDAY(DO9,1,'Setup ⚙️'!$AF$8:$AF$51),WORKDAY.INTL(DO9,1,"0000000",'Setup ⚙️'!$AF$8:$AF$51))</f>
        <v>157</v>
      </c>
      <c r="DQ9" s="99">
        <f>IF( 'Setup ⚙️'!$C$26 = "Show Weekdays Only",WORKDAY(DP9,1,'Setup ⚙️'!$AF$8:$AF$51),WORKDAY.INTL(DP9,1,"0000000",'Setup ⚙️'!$AF$8:$AF$51))</f>
        <v>158</v>
      </c>
      <c r="DR9" s="99">
        <f>IF( 'Setup ⚙️'!$C$26 = "Show Weekdays Only",WORKDAY(DQ9,1,'Setup ⚙️'!$AF$8:$AF$51),WORKDAY.INTL(DQ9,1,"0000000",'Setup ⚙️'!$AF$8:$AF$51))</f>
        <v>159</v>
      </c>
      <c r="DS9" s="99">
        <f>IF( 'Setup ⚙️'!$C$26 = "Show Weekdays Only",WORKDAY(DR9,1,'Setup ⚙️'!$AF$8:$AF$51),WORKDAY.INTL(DR9,1,"0000000",'Setup ⚙️'!$AF$8:$AF$51))</f>
        <v>160</v>
      </c>
      <c r="DT9" s="99">
        <f>IF( 'Setup ⚙️'!$C$26 = "Show Weekdays Only",WORKDAY(DS9,1,'Setup ⚙️'!$AF$8:$AF$51),WORKDAY.INTL(DS9,1,"0000000",'Setup ⚙️'!$AF$8:$AF$51))</f>
        <v>163</v>
      </c>
      <c r="DU9" s="99">
        <f>IF( 'Setup ⚙️'!$C$26 = "Show Weekdays Only",WORKDAY(DT9,1,'Setup ⚙️'!$AF$8:$AF$51),WORKDAY.INTL(DT9,1,"0000000",'Setup ⚙️'!$AF$8:$AF$51))</f>
        <v>164</v>
      </c>
      <c r="DV9" s="99">
        <f>IF( 'Setup ⚙️'!$C$26 = "Show Weekdays Only",WORKDAY(DU9,1,'Setup ⚙️'!$AF$8:$AF$51),WORKDAY.INTL(DU9,1,"0000000",'Setup ⚙️'!$AF$8:$AF$51))</f>
        <v>165</v>
      </c>
      <c r="DW9" s="99">
        <f>IF( 'Setup ⚙️'!$C$26 = "Show Weekdays Only",WORKDAY(DV9,1,'Setup ⚙️'!$AF$8:$AF$51),WORKDAY.INTL(DV9,1,"0000000",'Setup ⚙️'!$AF$8:$AF$51))</f>
        <v>166</v>
      </c>
      <c r="DX9" s="99">
        <f>IF( 'Setup ⚙️'!$C$26 = "Show Weekdays Only",WORKDAY(DW9,1,'Setup ⚙️'!$AF$8:$AF$51),WORKDAY.INTL(DW9,1,"0000000",'Setup ⚙️'!$AF$8:$AF$51))</f>
        <v>167</v>
      </c>
      <c r="DY9" s="99">
        <f>IF( 'Setup ⚙️'!$C$26 = "Show Weekdays Only",WORKDAY(DX9,1,'Setup ⚙️'!$AF$8:$AF$51),WORKDAY.INTL(DX9,1,"0000000",'Setup ⚙️'!$AF$8:$AF$51))</f>
        <v>170</v>
      </c>
      <c r="DZ9" s="99">
        <f>IF( 'Setup ⚙️'!$C$26 = "Show Weekdays Only",WORKDAY(DY9,1,'Setup ⚙️'!$AF$8:$AF$51),WORKDAY.INTL(DY9,1,"0000000",'Setup ⚙️'!$AF$8:$AF$51))</f>
        <v>171</v>
      </c>
      <c r="EA9" s="99">
        <f>IF( 'Setup ⚙️'!$C$26 = "Show Weekdays Only",WORKDAY(DZ9,1,'Setup ⚙️'!$AF$8:$AF$51),WORKDAY.INTL(DZ9,1,"0000000",'Setup ⚙️'!$AF$8:$AF$51))</f>
        <v>172</v>
      </c>
      <c r="EB9" s="99">
        <f>IF( 'Setup ⚙️'!$C$26 = "Show Weekdays Only",WORKDAY(EA9,1,'Setup ⚙️'!$AF$8:$AF$51),WORKDAY.INTL(EA9,1,"0000000",'Setup ⚙️'!$AF$8:$AF$51))</f>
        <v>173</v>
      </c>
      <c r="EC9" s="99">
        <f>IF( 'Setup ⚙️'!$C$26 = "Show Weekdays Only",WORKDAY(EB9,1,'Setup ⚙️'!$AF$8:$AF$51),WORKDAY.INTL(EB9,1,"0000000",'Setup ⚙️'!$AF$8:$AF$51))</f>
        <v>174</v>
      </c>
      <c r="ED9" s="99">
        <f>IF( 'Setup ⚙️'!$C$26 = "Show Weekdays Only",WORKDAY(EC9,1,'Setup ⚙️'!$AF$8:$AF$51),WORKDAY.INTL(EC9,1,"0000000",'Setup ⚙️'!$AF$8:$AF$51))</f>
        <v>177</v>
      </c>
      <c r="EE9" s="99">
        <f>IF( 'Setup ⚙️'!$C$26 = "Show Weekdays Only",WORKDAY(ED9,1,'Setup ⚙️'!$AF$8:$AF$51),WORKDAY.INTL(ED9,1,"0000000",'Setup ⚙️'!$AF$8:$AF$51))</f>
        <v>178</v>
      </c>
      <c r="EF9" s="99">
        <f>IF( 'Setup ⚙️'!$C$26 = "Show Weekdays Only",WORKDAY(EE9,1,'Setup ⚙️'!$AF$8:$AF$51),WORKDAY.INTL(EE9,1,"0000000",'Setup ⚙️'!$AF$8:$AF$51))</f>
        <v>179</v>
      </c>
      <c r="EG9" s="99">
        <f>IF( 'Setup ⚙️'!$C$26 = "Show Weekdays Only",WORKDAY(EF9,1,'Setup ⚙️'!$AF$8:$AF$51),WORKDAY.INTL(EF9,1,"0000000",'Setup ⚙️'!$AF$8:$AF$51))</f>
        <v>180</v>
      </c>
      <c r="EH9" s="99">
        <f>IF( 'Setup ⚙️'!$C$26 = "Show Weekdays Only",WORKDAY(EG9,1,'Setup ⚙️'!$AF$8:$AF$51),WORKDAY.INTL(EG9,1,"0000000",'Setup ⚙️'!$AF$8:$AF$51))</f>
        <v>181</v>
      </c>
      <c r="EI9" s="99">
        <f>IF( 'Setup ⚙️'!$C$26 = "Show Weekdays Only",WORKDAY(EH9,1,'Setup ⚙️'!$AF$8:$AF$51),WORKDAY.INTL(EH9,1,"0000000",'Setup ⚙️'!$AF$8:$AF$51))</f>
        <v>184</v>
      </c>
      <c r="EJ9" s="99">
        <f>IF( 'Setup ⚙️'!$C$26 = "Show Weekdays Only",WORKDAY(EI9,1,'Setup ⚙️'!$AF$8:$AF$51),WORKDAY.INTL(EI9,1,"0000000",'Setup ⚙️'!$AF$8:$AF$51))</f>
        <v>185</v>
      </c>
      <c r="EK9" s="99">
        <f>IF( 'Setup ⚙️'!$C$26 = "Show Weekdays Only",WORKDAY(EJ9,1,'Setup ⚙️'!$AF$8:$AF$51),WORKDAY.INTL(EJ9,1,"0000000",'Setup ⚙️'!$AF$8:$AF$51))</f>
        <v>186</v>
      </c>
      <c r="EL9" s="99">
        <f>IF( 'Setup ⚙️'!$C$26 = "Show Weekdays Only",WORKDAY(EK9,1,'Setup ⚙️'!$AF$8:$AF$51),WORKDAY.INTL(EK9,1,"0000000",'Setup ⚙️'!$AF$8:$AF$51))</f>
        <v>187</v>
      </c>
      <c r="EM9" s="99">
        <f>IF( 'Setup ⚙️'!$C$26 = "Show Weekdays Only",WORKDAY(EL9,1,'Setup ⚙️'!$AF$8:$AF$51),WORKDAY.INTL(EL9,1,"0000000",'Setup ⚙️'!$AF$8:$AF$51))</f>
        <v>188</v>
      </c>
      <c r="EN9" s="99">
        <f>IF( 'Setup ⚙️'!$C$26 = "Show Weekdays Only",WORKDAY(EM9,1,'Setup ⚙️'!$AF$8:$AF$51),WORKDAY.INTL(EM9,1,"0000000",'Setup ⚙️'!$AF$8:$AF$51))</f>
        <v>191</v>
      </c>
      <c r="EO9" s="99">
        <f>IF( 'Setup ⚙️'!$C$26 = "Show Weekdays Only",WORKDAY(EN9,1,'Setup ⚙️'!$AF$8:$AF$51),WORKDAY.INTL(EN9,1,"0000000",'Setup ⚙️'!$AF$8:$AF$51))</f>
        <v>192</v>
      </c>
      <c r="EP9" s="99">
        <f>IF( 'Setup ⚙️'!$C$26 = "Show Weekdays Only",WORKDAY(EO9,1,'Setup ⚙️'!$AF$8:$AF$51),WORKDAY.INTL(EO9,1,"0000000",'Setup ⚙️'!$AF$8:$AF$51))</f>
        <v>193</v>
      </c>
      <c r="EQ9" s="99">
        <f>IF( 'Setup ⚙️'!$C$26 = "Show Weekdays Only",WORKDAY(EP9,1,'Setup ⚙️'!$AF$8:$AF$51),WORKDAY.INTL(EP9,1,"0000000",'Setup ⚙️'!$AF$8:$AF$51))</f>
        <v>194</v>
      </c>
      <c r="ER9" s="99">
        <f>IF( 'Setup ⚙️'!$C$26 = "Show Weekdays Only",WORKDAY(EQ9,1,'Setup ⚙️'!$AF$8:$AF$51),WORKDAY.INTL(EQ9,1,"0000000",'Setup ⚙️'!$AF$8:$AF$51))</f>
        <v>195</v>
      </c>
      <c r="ES9" s="99">
        <f>IF( 'Setup ⚙️'!$C$26 = "Show Weekdays Only",WORKDAY(ER9,1,'Setup ⚙️'!$AF$8:$AF$51),WORKDAY.INTL(ER9,1,"0000000",'Setup ⚙️'!$AF$8:$AF$51))</f>
        <v>198</v>
      </c>
      <c r="ET9" s="99">
        <f>IF( 'Setup ⚙️'!$C$26 = "Show Weekdays Only",WORKDAY(ES9,1,'Setup ⚙️'!$AF$8:$AF$51),WORKDAY.INTL(ES9,1,"0000000",'Setup ⚙️'!$AF$8:$AF$51))</f>
        <v>199</v>
      </c>
      <c r="EU9" s="99">
        <f>IF( 'Setup ⚙️'!$C$26 = "Show Weekdays Only",WORKDAY(ET9,1,'Setup ⚙️'!$AF$8:$AF$51),WORKDAY.INTL(ET9,1,"0000000",'Setup ⚙️'!$AF$8:$AF$51))</f>
        <v>200</v>
      </c>
      <c r="EV9" s="99">
        <f>IF( 'Setup ⚙️'!$C$26 = "Show Weekdays Only",WORKDAY(EU9,1,'Setup ⚙️'!$AF$8:$AF$51),WORKDAY.INTL(EU9,1,"0000000",'Setup ⚙️'!$AF$8:$AF$51))</f>
        <v>201</v>
      </c>
      <c r="EW9" s="99">
        <f>IF( 'Setup ⚙️'!$C$26 = "Show Weekdays Only",WORKDAY(EV9,1,'Setup ⚙️'!$AF$8:$AF$51),WORKDAY.INTL(EV9,1,"0000000",'Setup ⚙️'!$AF$8:$AF$51))</f>
        <v>202</v>
      </c>
      <c r="EX9" s="99">
        <f>IF( 'Setup ⚙️'!$C$26 = "Show Weekdays Only",WORKDAY(EW9,1,'Setup ⚙️'!$AF$8:$AF$51),WORKDAY.INTL(EW9,1,"0000000",'Setup ⚙️'!$AF$8:$AF$51))</f>
        <v>205</v>
      </c>
      <c r="EY9" s="99">
        <f>IF( 'Setup ⚙️'!$C$26 = "Show Weekdays Only",WORKDAY(EX9,1,'Setup ⚙️'!$AF$8:$AF$51),WORKDAY.INTL(EX9,1,"0000000",'Setup ⚙️'!$AF$8:$AF$51))</f>
        <v>206</v>
      </c>
      <c r="EZ9" s="99">
        <f>IF( 'Setup ⚙️'!$C$26 = "Show Weekdays Only",WORKDAY(EY9,1,'Setup ⚙️'!$AF$8:$AF$51),WORKDAY.INTL(EY9,1,"0000000",'Setup ⚙️'!$AF$8:$AF$51))</f>
        <v>207</v>
      </c>
      <c r="FA9" s="99">
        <f>IF( 'Setup ⚙️'!$C$26 = "Show Weekdays Only",WORKDAY(EZ9,1,'Setup ⚙️'!$AF$8:$AF$51),WORKDAY.INTL(EZ9,1,"0000000",'Setup ⚙️'!$AF$8:$AF$51))</f>
        <v>208</v>
      </c>
      <c r="FB9" s="99">
        <f>IF( 'Setup ⚙️'!$C$26 = "Show Weekdays Only",WORKDAY(FA9,1,'Setup ⚙️'!$AF$8:$AF$51),WORKDAY.INTL(FA9,1,"0000000",'Setup ⚙️'!$AF$8:$AF$51))</f>
        <v>209</v>
      </c>
      <c r="FC9" s="99">
        <f>IF( 'Setup ⚙️'!$C$26 = "Show Weekdays Only",WORKDAY(FB9,1,'Setup ⚙️'!$AF$8:$AF$51),WORKDAY.INTL(FB9,1,"0000000",'Setup ⚙️'!$AF$8:$AF$51))</f>
        <v>212</v>
      </c>
      <c r="FD9" s="99">
        <f>IF( 'Setup ⚙️'!$C$26 = "Show Weekdays Only",WORKDAY(FC9,1,'Setup ⚙️'!$AF$8:$AF$51),WORKDAY.INTL(FC9,1,"0000000",'Setup ⚙️'!$AF$8:$AF$51))</f>
        <v>213</v>
      </c>
      <c r="FE9" s="99">
        <f>IF( 'Setup ⚙️'!$C$26 = "Show Weekdays Only",WORKDAY(FD9,1,'Setup ⚙️'!$AF$8:$AF$51),WORKDAY.INTL(FD9,1,"0000000",'Setup ⚙️'!$AF$8:$AF$51))</f>
        <v>214</v>
      </c>
      <c r="FF9" s="99">
        <f>IF( 'Setup ⚙️'!$C$26 = "Show Weekdays Only",WORKDAY(FE9,1,'Setup ⚙️'!$AF$8:$AF$51),WORKDAY.INTL(FE9,1,"0000000",'Setup ⚙️'!$AF$8:$AF$51))</f>
        <v>215</v>
      </c>
      <c r="FG9" s="99">
        <f>IF( 'Setup ⚙️'!$C$26 = "Show Weekdays Only",WORKDAY(FF9,1,'Setup ⚙️'!$AF$8:$AF$51),WORKDAY.INTL(FF9,1,"0000000",'Setup ⚙️'!$AF$8:$AF$51))</f>
        <v>216</v>
      </c>
      <c r="FH9" s="99">
        <f>IF( 'Setup ⚙️'!$C$26 = "Show Weekdays Only",WORKDAY(FG9,1,'Setup ⚙️'!$AF$8:$AF$51),WORKDAY.INTL(FG9,1,"0000000",'Setup ⚙️'!$AF$8:$AF$51))</f>
        <v>219</v>
      </c>
      <c r="FI9" s="99">
        <f>IF( 'Setup ⚙️'!$C$26 = "Show Weekdays Only",WORKDAY(FH9,1,'Setup ⚙️'!$AF$8:$AF$51),WORKDAY.INTL(FH9,1,"0000000",'Setup ⚙️'!$AF$8:$AF$51))</f>
        <v>220</v>
      </c>
      <c r="FJ9" s="99">
        <f>IF( 'Setup ⚙️'!$C$26 = "Show Weekdays Only",WORKDAY(FI9,1,'Setup ⚙️'!$AF$8:$AF$51),WORKDAY.INTL(FI9,1,"0000000",'Setup ⚙️'!$AF$8:$AF$51))</f>
        <v>221</v>
      </c>
      <c r="FK9" s="99">
        <f>IF( 'Setup ⚙️'!$C$26 = "Show Weekdays Only",WORKDAY(FJ9,1,'Setup ⚙️'!$AF$8:$AF$51),WORKDAY.INTL(FJ9,1,"0000000",'Setup ⚙️'!$AF$8:$AF$51))</f>
        <v>222</v>
      </c>
      <c r="FL9" s="99">
        <f>IF( 'Setup ⚙️'!$C$26 = "Show Weekdays Only",WORKDAY(FK9,1,'Setup ⚙️'!$AF$8:$AF$51),WORKDAY.INTL(FK9,1,"0000000",'Setup ⚙️'!$AF$8:$AF$51))</f>
        <v>223</v>
      </c>
      <c r="FM9" s="99">
        <f>IF( 'Setup ⚙️'!$C$26 = "Show Weekdays Only",WORKDAY(FL9,1,'Setup ⚙️'!$AF$8:$AF$51),WORKDAY.INTL(FL9,1,"0000000",'Setup ⚙️'!$AF$8:$AF$51))</f>
        <v>226</v>
      </c>
      <c r="FN9" s="99">
        <f>IF( 'Setup ⚙️'!$C$26 = "Show Weekdays Only",WORKDAY(FM9,1,'Setup ⚙️'!$AF$8:$AF$51),WORKDAY.INTL(FM9,1,"0000000",'Setup ⚙️'!$AF$8:$AF$51))</f>
        <v>227</v>
      </c>
      <c r="FO9" s="99">
        <f>IF( 'Setup ⚙️'!$C$26 = "Show Weekdays Only",WORKDAY(FN9,1,'Setup ⚙️'!$AF$8:$AF$51),WORKDAY.INTL(FN9,1,"0000000",'Setup ⚙️'!$AF$8:$AF$51))</f>
        <v>228</v>
      </c>
      <c r="FP9" s="99">
        <f>IF( 'Setup ⚙️'!$C$26 = "Show Weekdays Only",WORKDAY(FO9,1,'Setup ⚙️'!$AF$8:$AF$51),WORKDAY.INTL(FO9,1,"0000000",'Setup ⚙️'!$AF$8:$AF$51))</f>
        <v>229</v>
      </c>
      <c r="FQ9" s="99">
        <f>IF( 'Setup ⚙️'!$C$26 = "Show Weekdays Only",WORKDAY(FP9,1,'Setup ⚙️'!$AF$8:$AF$51),WORKDAY.INTL(FP9,1,"0000000",'Setup ⚙️'!$AF$8:$AF$51))</f>
        <v>230</v>
      </c>
      <c r="FR9" s="99">
        <f>IF( 'Setup ⚙️'!$C$26 = "Show Weekdays Only",WORKDAY(FQ9,1,'Setup ⚙️'!$AF$8:$AF$51),WORKDAY.INTL(FQ9,1,"0000000",'Setup ⚙️'!$AF$8:$AF$51))</f>
        <v>233</v>
      </c>
      <c r="FS9" s="99">
        <f>IF( 'Setup ⚙️'!$C$26 = "Show Weekdays Only",WORKDAY(FR9,1,'Setup ⚙️'!$AF$8:$AF$51),WORKDAY.INTL(FR9,1,"0000000",'Setup ⚙️'!$AF$8:$AF$51))</f>
        <v>234</v>
      </c>
      <c r="FT9" s="99">
        <f>IF( 'Setup ⚙️'!$C$26 = "Show Weekdays Only",WORKDAY(FS9,1,'Setup ⚙️'!$AF$8:$AF$51),WORKDAY.INTL(FS9,1,"0000000",'Setup ⚙️'!$AF$8:$AF$51))</f>
        <v>235</v>
      </c>
      <c r="FU9" s="99">
        <f>IF( 'Setup ⚙️'!$C$26 = "Show Weekdays Only",WORKDAY(FT9,1,'Setup ⚙️'!$AF$8:$AF$51),WORKDAY.INTL(FT9,1,"0000000",'Setup ⚙️'!$AF$8:$AF$51))</f>
        <v>236</v>
      </c>
      <c r="FV9" s="99">
        <f>IF( 'Setup ⚙️'!$C$26 = "Show Weekdays Only",WORKDAY(FU9,1,'Setup ⚙️'!$AF$8:$AF$51),WORKDAY.INTL(FU9,1,"0000000",'Setup ⚙️'!$AF$8:$AF$51))</f>
        <v>237</v>
      </c>
      <c r="FW9" s="99">
        <f>IF( 'Setup ⚙️'!$C$26 = "Show Weekdays Only",WORKDAY(FV9,1,'Setup ⚙️'!$AF$8:$AF$51),WORKDAY.INTL(FV9,1,"0000000",'Setup ⚙️'!$AF$8:$AF$51))</f>
        <v>240</v>
      </c>
      <c r="FX9" s="99">
        <f>IF( 'Setup ⚙️'!$C$26 = "Show Weekdays Only",WORKDAY(FW9,1,'Setup ⚙️'!$AF$8:$AF$51),WORKDAY.INTL(FW9,1,"0000000",'Setup ⚙️'!$AF$8:$AF$51))</f>
        <v>241</v>
      </c>
      <c r="FY9" s="99">
        <f>IF( 'Setup ⚙️'!$C$26 = "Show Weekdays Only",WORKDAY(FX9,1,'Setup ⚙️'!$AF$8:$AF$51),WORKDAY.INTL(FX9,1,"0000000",'Setup ⚙️'!$AF$8:$AF$51))</f>
        <v>242</v>
      </c>
      <c r="FZ9" s="99">
        <f>IF( 'Setup ⚙️'!$C$26 = "Show Weekdays Only",WORKDAY(FY9,1,'Setup ⚙️'!$AF$8:$AF$51),WORKDAY.INTL(FY9,1,"0000000",'Setup ⚙️'!$AF$8:$AF$51))</f>
        <v>243</v>
      </c>
      <c r="GA9" s="99">
        <f>IF( 'Setup ⚙️'!$C$26 = "Show Weekdays Only",WORKDAY(FZ9,1,'Setup ⚙️'!$AF$8:$AF$51),WORKDAY.INTL(FZ9,1,"0000000",'Setup ⚙️'!$AF$8:$AF$51))</f>
        <v>244</v>
      </c>
      <c r="GB9" s="99">
        <f>IF( 'Setup ⚙️'!$C$26 = "Show Weekdays Only",WORKDAY(GA9,1,'Setup ⚙️'!$AF$8:$AF$51),WORKDAY.INTL(GA9,1,"0000000",'Setup ⚙️'!$AF$8:$AF$51))</f>
        <v>247</v>
      </c>
      <c r="GC9" s="99">
        <f>IF( 'Setup ⚙️'!$C$26 = "Show Weekdays Only",WORKDAY(GB9,1,'Setup ⚙️'!$AF$8:$AF$51),WORKDAY.INTL(GB9,1,"0000000",'Setup ⚙️'!$AF$8:$AF$51))</f>
        <v>248</v>
      </c>
      <c r="GD9" s="99">
        <f>IF( 'Setup ⚙️'!$C$26 = "Show Weekdays Only",WORKDAY(GC9,1,'Setup ⚙️'!$AF$8:$AF$51),WORKDAY.INTL(GC9,1,"0000000",'Setup ⚙️'!$AF$8:$AF$51))</f>
        <v>249</v>
      </c>
      <c r="GE9" s="99">
        <f>IF( 'Setup ⚙️'!$C$26 = "Show Weekdays Only",WORKDAY(GD9,1,'Setup ⚙️'!$AF$8:$AF$51),WORKDAY.INTL(GD9,1,"0000000",'Setup ⚙️'!$AF$8:$AF$51))</f>
        <v>250</v>
      </c>
      <c r="GF9" s="99">
        <f>IF( 'Setup ⚙️'!$C$26 = "Show Weekdays Only",WORKDAY(GE9,1,'Setup ⚙️'!$AF$8:$AF$51),WORKDAY.INTL(GE9,1,"0000000",'Setup ⚙️'!$AF$8:$AF$51))</f>
        <v>251</v>
      </c>
      <c r="GG9" s="99">
        <f>IF( 'Setup ⚙️'!$C$26 = "Show Weekdays Only",WORKDAY(GF9,1,'Setup ⚙️'!$AF$8:$AF$51),WORKDAY.INTL(GF9,1,"0000000",'Setup ⚙️'!$AF$8:$AF$51))</f>
        <v>254</v>
      </c>
      <c r="GH9" s="99">
        <f>IF( 'Setup ⚙️'!$C$26 = "Show Weekdays Only",WORKDAY(GG9,1,'Setup ⚙️'!$AF$8:$AF$51),WORKDAY.INTL(GG9,1,"0000000",'Setup ⚙️'!$AF$8:$AF$51))</f>
        <v>255</v>
      </c>
      <c r="GI9" s="99">
        <f>IF( 'Setup ⚙️'!$C$26 = "Show Weekdays Only",WORKDAY(GH9,1,'Setup ⚙️'!$AF$8:$AF$51),WORKDAY.INTL(GH9,1,"0000000",'Setup ⚙️'!$AF$8:$AF$51))</f>
        <v>256</v>
      </c>
      <c r="GJ9" s="99">
        <f>IF( 'Setup ⚙️'!$C$26 = "Show Weekdays Only",WORKDAY(GI9,1,'Setup ⚙️'!$AF$8:$AF$51),WORKDAY.INTL(GI9,1,"0000000",'Setup ⚙️'!$AF$8:$AF$51))</f>
        <v>257</v>
      </c>
      <c r="GK9" s="99">
        <f>IF( 'Setup ⚙️'!$C$26 = "Show Weekdays Only",WORKDAY(GJ9,1,'Setup ⚙️'!$AF$8:$AF$51),WORKDAY.INTL(GJ9,1,"0000000",'Setup ⚙️'!$AF$8:$AF$51))</f>
        <v>258</v>
      </c>
      <c r="GL9" s="99">
        <f>IF( 'Setup ⚙️'!$C$26 = "Show Weekdays Only",WORKDAY(GK9,1,'Setup ⚙️'!$AF$8:$AF$51),WORKDAY.INTL(GK9,1,"0000000",'Setup ⚙️'!$AF$8:$AF$51))</f>
        <v>261</v>
      </c>
      <c r="GM9" s="99">
        <f>IF( 'Setup ⚙️'!$C$26 = "Show Weekdays Only",WORKDAY(GL9,1,'Setup ⚙️'!$AF$8:$AF$51),WORKDAY.INTL(GL9,1,"0000000",'Setup ⚙️'!$AF$8:$AF$51))</f>
        <v>262</v>
      </c>
      <c r="GN9" s="99">
        <f>IF( 'Setup ⚙️'!$C$26 = "Show Weekdays Only",WORKDAY(GM9,1,'Setup ⚙️'!$AF$8:$AF$51),WORKDAY.INTL(GM9,1,"0000000",'Setup ⚙️'!$AF$8:$AF$51))</f>
        <v>263</v>
      </c>
      <c r="GO9" s="99">
        <f>IF( 'Setup ⚙️'!$C$26 = "Show Weekdays Only",WORKDAY(GN9,1,'Setup ⚙️'!$AF$8:$AF$51),WORKDAY.INTL(GN9,1,"0000000",'Setup ⚙️'!$AF$8:$AF$51))</f>
        <v>264</v>
      </c>
      <c r="GP9" s="99">
        <f>IF( 'Setup ⚙️'!$C$26 = "Show Weekdays Only",WORKDAY(GO9,1,'Setup ⚙️'!$AF$8:$AF$51),WORKDAY.INTL(GO9,1,"0000000",'Setup ⚙️'!$AF$8:$AF$51))</f>
        <v>265</v>
      </c>
      <c r="GQ9" s="99">
        <f>IF( 'Setup ⚙️'!$C$26 = "Show Weekdays Only",WORKDAY(GP9,1,'Setup ⚙️'!$AF$8:$AF$51),WORKDAY.INTL(GP9,1,"0000000",'Setup ⚙️'!$AF$8:$AF$51))</f>
        <v>268</v>
      </c>
      <c r="GR9" s="99">
        <f>IF( 'Setup ⚙️'!$C$26 = "Show Weekdays Only",WORKDAY(GQ9,1,'Setup ⚙️'!$AF$8:$AF$51),WORKDAY.INTL(GQ9,1,"0000000",'Setup ⚙️'!$AF$8:$AF$51))</f>
        <v>269</v>
      </c>
      <c r="GS9" s="99">
        <f>IF( 'Setup ⚙️'!$C$26 = "Show Weekdays Only",WORKDAY(GR9,1,'Setup ⚙️'!$AF$8:$AF$51),WORKDAY.INTL(GR9,1,"0000000",'Setup ⚙️'!$AF$8:$AF$51))</f>
        <v>270</v>
      </c>
      <c r="GT9" s="99">
        <f>IF( 'Setup ⚙️'!$C$26 = "Show Weekdays Only",WORKDAY(GS9,1,'Setup ⚙️'!$AF$8:$AF$51),WORKDAY.INTL(GS9,1,"0000000",'Setup ⚙️'!$AF$8:$AF$51))</f>
        <v>271</v>
      </c>
      <c r="GU9" s="99">
        <f>IF( 'Setup ⚙️'!$C$26 = "Show Weekdays Only",WORKDAY(GT9,1,'Setup ⚙️'!$AF$8:$AF$51),WORKDAY.INTL(GT9,1,"0000000",'Setup ⚙️'!$AF$8:$AF$51))</f>
        <v>272</v>
      </c>
      <c r="GV9" s="99">
        <f>IF( 'Setup ⚙️'!$C$26 = "Show Weekdays Only",WORKDAY(GU9,1,'Setup ⚙️'!$AF$8:$AF$51),WORKDAY.INTL(GU9,1,"0000000",'Setup ⚙️'!$AF$8:$AF$51))</f>
        <v>275</v>
      </c>
      <c r="GW9" s="99">
        <f>IF( 'Setup ⚙️'!$C$26 = "Show Weekdays Only",WORKDAY(GV9,1,'Setup ⚙️'!$AF$8:$AF$51),WORKDAY.INTL(GV9,1,"0000000",'Setup ⚙️'!$AF$8:$AF$51))</f>
        <v>276</v>
      </c>
      <c r="GX9" s="99">
        <f>IF( 'Setup ⚙️'!$C$26 = "Show Weekdays Only",WORKDAY(GW9,1,'Setup ⚙️'!$AF$8:$AF$51),WORKDAY.INTL(GW9,1,"0000000",'Setup ⚙️'!$AF$8:$AF$51))</f>
        <v>277</v>
      </c>
      <c r="GY9" s="99">
        <f>IF( 'Setup ⚙️'!$C$26 = "Show Weekdays Only",WORKDAY(GX9,1,'Setup ⚙️'!$AF$8:$AF$51),WORKDAY.INTL(GX9,1,"0000000",'Setup ⚙️'!$AF$8:$AF$51))</f>
        <v>278</v>
      </c>
      <c r="GZ9" s="99">
        <f>IF( 'Setup ⚙️'!$C$26 = "Show Weekdays Only",WORKDAY(GY9,1,'Setup ⚙️'!$AF$8:$AF$51),WORKDAY.INTL(GY9,1,"0000000",'Setup ⚙️'!$AF$8:$AF$51))</f>
        <v>279</v>
      </c>
      <c r="HA9" s="99">
        <f>IF( 'Setup ⚙️'!$C$26 = "Show Weekdays Only",WORKDAY(GZ9,1,'Setup ⚙️'!$AF$8:$AF$51),WORKDAY.INTL(GZ9,1,"0000000",'Setup ⚙️'!$AF$8:$AF$51))</f>
        <v>282</v>
      </c>
      <c r="HB9" s="99">
        <f>IF( 'Setup ⚙️'!$C$26 = "Show Weekdays Only",WORKDAY(HA9,1,'Setup ⚙️'!$AF$8:$AF$51),WORKDAY.INTL(HA9,1,"0000000",'Setup ⚙️'!$AF$8:$AF$51))</f>
        <v>283</v>
      </c>
      <c r="HC9" s="99">
        <f>IF( 'Setup ⚙️'!$C$26 = "Show Weekdays Only",WORKDAY(HB9,1,'Setup ⚙️'!$AF$8:$AF$51),WORKDAY.INTL(HB9,1,"0000000",'Setup ⚙️'!$AF$8:$AF$51))</f>
        <v>284</v>
      </c>
      <c r="HD9" s="99">
        <f>IF( 'Setup ⚙️'!$C$26 = "Show Weekdays Only",WORKDAY(HC9,1,'Setup ⚙️'!$AF$8:$AF$51),WORKDAY.INTL(HC9,1,"0000000",'Setup ⚙️'!$AF$8:$AF$51))</f>
        <v>285</v>
      </c>
      <c r="HE9" s="99">
        <f>IF( 'Setup ⚙️'!$C$26 = "Show Weekdays Only",WORKDAY(HD9,1,'Setup ⚙️'!$AF$8:$AF$51),WORKDAY.INTL(HD9,1,"0000000",'Setup ⚙️'!$AF$8:$AF$51))</f>
        <v>286</v>
      </c>
      <c r="HF9" s="99">
        <f>IF( 'Setup ⚙️'!$C$26 = "Show Weekdays Only",WORKDAY(HE9,1,'Setup ⚙️'!$AF$8:$AF$51),WORKDAY.INTL(HE9,1,"0000000",'Setup ⚙️'!$AF$8:$AF$51))</f>
        <v>289</v>
      </c>
      <c r="HG9" s="99">
        <f>IF( 'Setup ⚙️'!$C$26 = "Show Weekdays Only",WORKDAY(HF9,1,'Setup ⚙️'!$AF$8:$AF$51),WORKDAY.INTL(HF9,1,"0000000",'Setup ⚙️'!$AF$8:$AF$51))</f>
        <v>290</v>
      </c>
      <c r="HH9" s="99">
        <f>IF( 'Setup ⚙️'!$C$26 = "Show Weekdays Only",WORKDAY(HG9,1,'Setup ⚙️'!$AF$8:$AF$51),WORKDAY.INTL(HG9,1,"0000000",'Setup ⚙️'!$AF$8:$AF$51))</f>
        <v>291</v>
      </c>
      <c r="HI9" s="99">
        <f>IF( 'Setup ⚙️'!$C$26 = "Show Weekdays Only",WORKDAY(HH9,1,'Setup ⚙️'!$AF$8:$AF$51),WORKDAY.INTL(HH9,1,"0000000",'Setup ⚙️'!$AF$8:$AF$51))</f>
        <v>292</v>
      </c>
      <c r="HJ9" s="99">
        <f>IF( 'Setup ⚙️'!$C$26 = "Show Weekdays Only",WORKDAY(HI9,1,'Setup ⚙️'!$AF$8:$AF$51),WORKDAY.INTL(HI9,1,"0000000",'Setup ⚙️'!$AF$8:$AF$51))</f>
        <v>293</v>
      </c>
      <c r="HK9" s="99">
        <f>IF( 'Setup ⚙️'!$C$26 = "Show Weekdays Only",WORKDAY(HJ9,1,'Setup ⚙️'!$AF$8:$AF$51),WORKDAY.INTL(HJ9,1,"0000000",'Setup ⚙️'!$AF$8:$AF$51))</f>
        <v>296</v>
      </c>
      <c r="HL9" s="99">
        <f>IF( 'Setup ⚙️'!$C$26 = "Show Weekdays Only",WORKDAY(HK9,1,'Setup ⚙️'!$AF$8:$AF$51),WORKDAY.INTL(HK9,1,"0000000",'Setup ⚙️'!$AF$8:$AF$51))</f>
        <v>297</v>
      </c>
      <c r="HM9" s="99">
        <f>IF( 'Setup ⚙️'!$C$26 = "Show Weekdays Only",WORKDAY(HL9,1,'Setup ⚙️'!$AF$8:$AF$51),WORKDAY.INTL(HL9,1,"0000000",'Setup ⚙️'!$AF$8:$AF$51))</f>
        <v>298</v>
      </c>
      <c r="HN9" s="99">
        <f>IF( 'Setup ⚙️'!$C$26 = "Show Weekdays Only",WORKDAY(HM9,1,'Setup ⚙️'!$AF$8:$AF$51),WORKDAY.INTL(HM9,1,"0000000",'Setup ⚙️'!$AF$8:$AF$51))</f>
        <v>299</v>
      </c>
      <c r="HO9" s="99">
        <f>IF( 'Setup ⚙️'!$C$26 = "Show Weekdays Only",WORKDAY(HN9,1,'Setup ⚙️'!$AF$8:$AF$51),WORKDAY.INTL(HN9,1,"0000000",'Setup ⚙️'!$AF$8:$AF$51))</f>
        <v>300</v>
      </c>
      <c r="HP9" s="99">
        <f>IF( 'Setup ⚙️'!$C$26 = "Show Weekdays Only",WORKDAY(HO9,1,'Setup ⚙️'!$AF$8:$AF$51),WORKDAY.INTL(HO9,1,"0000000",'Setup ⚙️'!$AF$8:$AF$51))</f>
        <v>303</v>
      </c>
      <c r="HQ9" s="99">
        <f>IF( 'Setup ⚙️'!$C$26 = "Show Weekdays Only",WORKDAY(HP9,1,'Setup ⚙️'!$AF$8:$AF$51),WORKDAY.INTL(HP9,1,"0000000",'Setup ⚙️'!$AF$8:$AF$51))</f>
        <v>304</v>
      </c>
      <c r="HR9" s="99">
        <f>IF( 'Setup ⚙️'!$C$26 = "Show Weekdays Only",WORKDAY(HQ9,1,'Setup ⚙️'!$AF$8:$AF$51),WORKDAY.INTL(HQ9,1,"0000000",'Setup ⚙️'!$AF$8:$AF$51))</f>
        <v>305</v>
      </c>
      <c r="HS9" s="99">
        <f>IF( 'Setup ⚙️'!$C$26 = "Show Weekdays Only",WORKDAY(HR9,1,'Setup ⚙️'!$AF$8:$AF$51),WORKDAY.INTL(HR9,1,"0000000",'Setup ⚙️'!$AF$8:$AF$51))</f>
        <v>306</v>
      </c>
      <c r="HT9" s="99">
        <f>IF( 'Setup ⚙️'!$C$26 = "Show Weekdays Only",WORKDAY(HS9,1,'Setup ⚙️'!$AF$8:$AF$51),WORKDAY.INTL(HS9,1,"0000000",'Setup ⚙️'!$AF$8:$AF$51))</f>
        <v>307</v>
      </c>
      <c r="HU9" s="99">
        <f>IF( 'Setup ⚙️'!$C$26 = "Show Weekdays Only",WORKDAY(HT9,1,'Setup ⚙️'!$AF$8:$AF$51),WORKDAY.INTL(HT9,1,"0000000",'Setup ⚙️'!$AF$8:$AF$51))</f>
        <v>310</v>
      </c>
      <c r="HV9" s="99">
        <f>IF( 'Setup ⚙️'!$C$26 = "Show Weekdays Only",WORKDAY(HU9,1,'Setup ⚙️'!$AF$8:$AF$51),WORKDAY.INTL(HU9,1,"0000000",'Setup ⚙️'!$AF$8:$AF$51))</f>
        <v>311</v>
      </c>
      <c r="HW9" s="99">
        <f>IF( 'Setup ⚙️'!$C$26 = "Show Weekdays Only",WORKDAY(HV9,1,'Setup ⚙️'!$AF$8:$AF$51),WORKDAY.INTL(HV9,1,"0000000",'Setup ⚙️'!$AF$8:$AF$51))</f>
        <v>312</v>
      </c>
      <c r="HX9" s="99">
        <f>IF( 'Setup ⚙️'!$C$26 = "Show Weekdays Only",WORKDAY(HW9,1,'Setup ⚙️'!$AF$8:$AF$51),WORKDAY.INTL(HW9,1,"0000000",'Setup ⚙️'!$AF$8:$AF$51))</f>
        <v>313</v>
      </c>
      <c r="HY9" s="99">
        <f>IF( 'Setup ⚙️'!$C$26 = "Show Weekdays Only",WORKDAY(HX9,1,'Setup ⚙️'!$AF$8:$AF$51),WORKDAY.INTL(HX9,1,"0000000",'Setup ⚙️'!$AF$8:$AF$51))</f>
        <v>314</v>
      </c>
      <c r="HZ9" s="99">
        <f>IF( 'Setup ⚙️'!$C$26 = "Show Weekdays Only",WORKDAY(HY9,1,'Setup ⚙️'!$AF$8:$AF$51),WORKDAY.INTL(HY9,1,"0000000",'Setup ⚙️'!$AF$8:$AF$51))</f>
        <v>317</v>
      </c>
      <c r="IA9" s="99">
        <f>IF( 'Setup ⚙️'!$C$26 = "Show Weekdays Only",WORKDAY(HZ9,1,'Setup ⚙️'!$AF$8:$AF$51),WORKDAY.INTL(HZ9,1,"0000000",'Setup ⚙️'!$AF$8:$AF$51))</f>
        <v>318</v>
      </c>
      <c r="IB9" s="99">
        <f>IF( 'Setup ⚙️'!$C$26 = "Show Weekdays Only",WORKDAY(IA9,1,'Setup ⚙️'!$AF$8:$AF$51),WORKDAY.INTL(IA9,1,"0000000",'Setup ⚙️'!$AF$8:$AF$51))</f>
        <v>319</v>
      </c>
      <c r="IC9" s="99">
        <f>IF( 'Setup ⚙️'!$C$26 = "Show Weekdays Only",WORKDAY(IB9,1,'Setup ⚙️'!$AF$8:$AF$51),WORKDAY.INTL(IB9,1,"0000000",'Setup ⚙️'!$AF$8:$AF$51))</f>
        <v>320</v>
      </c>
      <c r="ID9" s="99">
        <f>IF( 'Setup ⚙️'!$C$26 = "Show Weekdays Only",WORKDAY(IC9,1,'Setup ⚙️'!$AF$8:$AF$51),WORKDAY.INTL(IC9,1,"0000000",'Setup ⚙️'!$AF$8:$AF$51))</f>
        <v>321</v>
      </c>
      <c r="IE9" s="99">
        <f>IF( 'Setup ⚙️'!$C$26 = "Show Weekdays Only",WORKDAY(ID9,1,'Setup ⚙️'!$AF$8:$AF$51),WORKDAY.INTL(ID9,1,"0000000",'Setup ⚙️'!$AF$8:$AF$51))</f>
        <v>324</v>
      </c>
      <c r="IF9" s="99">
        <f>IF( 'Setup ⚙️'!$C$26 = "Show Weekdays Only",WORKDAY(IE9,1,'Setup ⚙️'!$AF$8:$AF$51),WORKDAY.INTL(IE9,1,"0000000",'Setup ⚙️'!$AF$8:$AF$51))</f>
        <v>325</v>
      </c>
      <c r="IG9" s="99">
        <f>IF( 'Setup ⚙️'!$C$26 = "Show Weekdays Only",WORKDAY(IF9,1,'Setup ⚙️'!$AF$8:$AF$51),WORKDAY.INTL(IF9,1,"0000000",'Setup ⚙️'!$AF$8:$AF$51))</f>
        <v>326</v>
      </c>
      <c r="IH9" s="99">
        <f>IF( 'Setup ⚙️'!$C$26 = "Show Weekdays Only",WORKDAY(IG9,1,'Setup ⚙️'!$AF$8:$AF$51),WORKDAY.INTL(IG9,1,"0000000",'Setup ⚙️'!$AF$8:$AF$51))</f>
        <v>327</v>
      </c>
      <c r="II9" s="99">
        <f>IF( 'Setup ⚙️'!$C$26 = "Show Weekdays Only",WORKDAY(IH9,1,'Setup ⚙️'!$AF$8:$AF$51),WORKDAY.INTL(IH9,1,"0000000",'Setup ⚙️'!$AF$8:$AF$51))</f>
        <v>328</v>
      </c>
      <c r="IJ9" s="99">
        <f>IF( 'Setup ⚙️'!$C$26 = "Show Weekdays Only",WORKDAY(II9,1,'Setup ⚙️'!$AF$8:$AF$51),WORKDAY.INTL(II9,1,"0000000",'Setup ⚙️'!$AF$8:$AF$51))</f>
        <v>331</v>
      </c>
      <c r="IK9" s="99">
        <f>IF( 'Setup ⚙️'!$C$26 = "Show Weekdays Only",WORKDAY(IJ9,1,'Setup ⚙️'!$AF$8:$AF$51),WORKDAY.INTL(IJ9,1,"0000000",'Setup ⚙️'!$AF$8:$AF$51))</f>
        <v>332</v>
      </c>
      <c r="IL9" s="99">
        <f>IF( 'Setup ⚙️'!$C$26 = "Show Weekdays Only",WORKDAY(IK9,1,'Setup ⚙️'!$AF$8:$AF$51),WORKDAY.INTL(IK9,1,"0000000",'Setup ⚙️'!$AF$8:$AF$51))</f>
        <v>333</v>
      </c>
      <c r="IM9" s="99">
        <f>IF( 'Setup ⚙️'!$C$26 = "Show Weekdays Only",WORKDAY(IL9,1,'Setup ⚙️'!$AF$8:$AF$51),WORKDAY.INTL(IL9,1,"0000000",'Setup ⚙️'!$AF$8:$AF$51))</f>
        <v>334</v>
      </c>
      <c r="IN9" s="99">
        <f>IF( 'Setup ⚙️'!$C$26 = "Show Weekdays Only",WORKDAY(IM9,1,'Setup ⚙️'!$AF$8:$AF$51),WORKDAY.INTL(IM9,1,"0000000",'Setup ⚙️'!$AF$8:$AF$51))</f>
        <v>335</v>
      </c>
      <c r="IO9" s="99">
        <f>IF( 'Setup ⚙️'!$C$26 = "Show Weekdays Only",WORKDAY(IN9,1,'Setup ⚙️'!$AF$8:$AF$51),WORKDAY.INTL(IN9,1,"0000000",'Setup ⚙️'!$AF$8:$AF$51))</f>
        <v>338</v>
      </c>
      <c r="IP9" s="99">
        <f>IF( 'Setup ⚙️'!$C$26 = "Show Weekdays Only",WORKDAY(IO9,1,'Setup ⚙️'!$AF$8:$AF$51),WORKDAY.INTL(IO9,1,"0000000",'Setup ⚙️'!$AF$8:$AF$51))</f>
        <v>339</v>
      </c>
      <c r="IQ9" s="99">
        <f>IF( 'Setup ⚙️'!$C$26 = "Show Weekdays Only",WORKDAY(IP9,1,'Setup ⚙️'!$AF$8:$AF$51),WORKDAY.INTL(IP9,1,"0000000",'Setup ⚙️'!$AF$8:$AF$51))</f>
        <v>340</v>
      </c>
      <c r="IR9" s="99">
        <f>IF( 'Setup ⚙️'!$C$26 = "Show Weekdays Only",WORKDAY(IQ9,1,'Setup ⚙️'!$AF$8:$AF$51),WORKDAY.INTL(IQ9,1,"0000000",'Setup ⚙️'!$AF$8:$AF$51))</f>
        <v>341</v>
      </c>
      <c r="IS9" s="99">
        <f>IF( 'Setup ⚙️'!$C$26 = "Show Weekdays Only",WORKDAY(IR9,1,'Setup ⚙️'!$AF$8:$AF$51),WORKDAY.INTL(IR9,1,"0000000",'Setup ⚙️'!$AF$8:$AF$51))</f>
        <v>342</v>
      </c>
      <c r="IT9" s="99">
        <f>IF( 'Setup ⚙️'!$C$26 = "Show Weekdays Only",WORKDAY(IS9,1,'Setup ⚙️'!$AF$8:$AF$51),WORKDAY.INTL(IS9,1,"0000000",'Setup ⚙️'!$AF$8:$AF$51))</f>
        <v>345</v>
      </c>
      <c r="IU9" s="99">
        <f>IF( 'Setup ⚙️'!$C$26 = "Show Weekdays Only",WORKDAY(IT9,1,'Setup ⚙️'!$AF$8:$AF$51),WORKDAY.INTL(IT9,1,"0000000",'Setup ⚙️'!$AF$8:$AF$51))</f>
        <v>346</v>
      </c>
      <c r="IV9" s="99">
        <f>IF( 'Setup ⚙️'!$C$26 = "Show Weekdays Only",WORKDAY(IU9,1,'Setup ⚙️'!$AF$8:$AF$51),WORKDAY.INTL(IU9,1,"0000000",'Setup ⚙️'!$AF$8:$AF$51))</f>
        <v>347</v>
      </c>
      <c r="IW9" s="99">
        <f>IF( 'Setup ⚙️'!$C$26 = "Show Weekdays Only",WORKDAY(IV9,1,'Setup ⚙️'!$AF$8:$AF$51),WORKDAY.INTL(IV9,1,"0000000",'Setup ⚙️'!$AF$8:$AF$51))</f>
        <v>348</v>
      </c>
      <c r="IX9" s="99">
        <f>IF( 'Setup ⚙️'!$C$26 = "Show Weekdays Only",WORKDAY(IW9,1,'Setup ⚙️'!$AF$8:$AF$51),WORKDAY.INTL(IW9,1,"0000000",'Setup ⚙️'!$AF$8:$AF$51))</f>
        <v>349</v>
      </c>
      <c r="IY9" s="99">
        <f>IF( 'Setup ⚙️'!$C$26 = "Show Weekdays Only",WORKDAY(IX9,1,'Setup ⚙️'!$AF$8:$AF$51),WORKDAY.INTL(IX9,1,"0000000",'Setup ⚙️'!$AF$8:$AF$51))</f>
        <v>352</v>
      </c>
      <c r="IZ9" s="99">
        <f>IF( 'Setup ⚙️'!$C$26 = "Show Weekdays Only",WORKDAY(IY9,1,'Setup ⚙️'!$AF$8:$AF$51),WORKDAY.INTL(IY9,1,"0000000",'Setup ⚙️'!$AF$8:$AF$51))</f>
        <v>353</v>
      </c>
      <c r="JA9" s="99">
        <f>IF( 'Setup ⚙️'!$C$26 = "Show Weekdays Only",WORKDAY(IZ9,1,'Setup ⚙️'!$AF$8:$AF$51),WORKDAY.INTL(IZ9,1,"0000000",'Setup ⚙️'!$AF$8:$AF$51))</f>
        <v>354</v>
      </c>
      <c r="JB9" s="99">
        <f>IF( 'Setup ⚙️'!$C$26 = "Show Weekdays Only",WORKDAY(JA9,1,'Setup ⚙️'!$AF$8:$AF$51),WORKDAY.INTL(JA9,1,"0000000",'Setup ⚙️'!$AF$8:$AF$51))</f>
        <v>355</v>
      </c>
      <c r="JC9" s="99">
        <f>IF( 'Setup ⚙️'!$C$26 = "Show Weekdays Only",WORKDAY(JB9,1,'Setup ⚙️'!$AF$8:$AF$51),WORKDAY.INTL(JB9,1,"0000000",'Setup ⚙️'!$AF$8:$AF$51))</f>
        <v>356</v>
      </c>
      <c r="JD9" s="99">
        <f>IF( 'Setup ⚙️'!$C$26 = "Show Weekdays Only",WORKDAY(JC9,1,'Setup ⚙️'!$AF$8:$AF$51),WORKDAY.INTL(JC9,1,"0000000",'Setup ⚙️'!$AF$8:$AF$51))</f>
        <v>359</v>
      </c>
      <c r="JE9" s="99">
        <f>IF( 'Setup ⚙️'!$C$26 = "Show Weekdays Only",WORKDAY(JD9,1,'Setup ⚙️'!$AF$8:$AF$51),WORKDAY.INTL(JD9,1,"0000000",'Setup ⚙️'!$AF$8:$AF$51))</f>
        <v>360</v>
      </c>
      <c r="JF9" s="99">
        <f>IF( 'Setup ⚙️'!$C$26 = "Show Weekdays Only",WORKDAY(JE9,1,'Setup ⚙️'!$AF$8:$AF$51),WORKDAY.INTL(JE9,1,"0000000",'Setup ⚙️'!$AF$8:$AF$51))</f>
        <v>361</v>
      </c>
      <c r="JG9" s="99">
        <f>IF( 'Setup ⚙️'!$C$26 = "Show Weekdays Only",WORKDAY(JF9,1,'Setup ⚙️'!$AF$8:$AF$51),WORKDAY.INTL(JF9,1,"0000000",'Setup ⚙️'!$AF$8:$AF$51))</f>
        <v>362</v>
      </c>
      <c r="JH9" s="99">
        <f>IF( 'Setup ⚙️'!$C$26 = "Show Weekdays Only",WORKDAY(JG9,1,'Setup ⚙️'!$AF$8:$AF$51),WORKDAY.INTL(JG9,1,"0000000",'Setup ⚙️'!$AF$8:$AF$51))</f>
        <v>363</v>
      </c>
      <c r="JI9" s="99">
        <f>IF( 'Setup ⚙️'!$C$26 = "Show Weekdays Only",WORKDAY(JH9,1,'Setup ⚙️'!$AF$8:$AF$51),WORKDAY.INTL(JH9,1,"0000000",'Setup ⚙️'!$AF$8:$AF$51))</f>
        <v>366</v>
      </c>
      <c r="JJ9" s="99">
        <f>IF( 'Setup ⚙️'!$C$26 = "Show Weekdays Only",WORKDAY(JI9,1,'Setup ⚙️'!$AF$8:$AF$51),WORKDAY.INTL(JI9,1,"0000000",'Setup ⚙️'!$AF$8:$AF$51))</f>
        <v>367</v>
      </c>
      <c r="JK9" s="99">
        <f>IF( 'Setup ⚙️'!$C$26 = "Show Weekdays Only",WORKDAY(JJ9,1,'Setup ⚙️'!$AF$8:$AF$51),WORKDAY.INTL(JJ9,1,"0000000",'Setup ⚙️'!$AF$8:$AF$51))</f>
        <v>368</v>
      </c>
      <c r="JL9" s="99">
        <f>IF( 'Setup ⚙️'!$C$26 = "Show Weekdays Only",WORKDAY(JK9,1,'Setup ⚙️'!$AF$8:$AF$51),WORKDAY.INTL(JK9,1,"0000000",'Setup ⚙️'!$AF$8:$AF$51))</f>
        <v>369</v>
      </c>
      <c r="JM9" s="99">
        <f>IF( 'Setup ⚙️'!$C$26 = "Show Weekdays Only",WORKDAY(JL9,1,'Setup ⚙️'!$AF$8:$AF$51),WORKDAY.INTL(JL9,1,"0000000",'Setup ⚙️'!$AF$8:$AF$51))</f>
        <v>370</v>
      </c>
      <c r="JN9" s="99">
        <f>IF( 'Setup ⚙️'!$C$26 = "Show Weekdays Only",WORKDAY(JM9,1,'Setup ⚙️'!$AF$8:$AF$51),WORKDAY.INTL(JM9,1,"0000000",'Setup ⚙️'!$AF$8:$AF$51))</f>
        <v>373</v>
      </c>
      <c r="JO9" s="99">
        <f>IF( 'Setup ⚙️'!$C$26 = "Show Weekdays Only",WORKDAY(JN9,1,'Setup ⚙️'!$AF$8:$AF$51),WORKDAY.INTL(JN9,1,"0000000",'Setup ⚙️'!$AF$8:$AF$51))</f>
        <v>374</v>
      </c>
      <c r="JP9" s="99">
        <f>IF( 'Setup ⚙️'!$C$26 = "Show Weekdays Only",WORKDAY(JO9,1,'Setup ⚙️'!$AF$8:$AF$51),WORKDAY.INTL(JO9,1,"0000000",'Setup ⚙️'!$AF$8:$AF$51))</f>
        <v>375</v>
      </c>
      <c r="JQ9" s="99">
        <f>IF( 'Setup ⚙️'!$C$26 = "Show Weekdays Only",WORKDAY(JP9,1,'Setup ⚙️'!$AF$8:$AF$51),WORKDAY.INTL(JP9,1,"0000000",'Setup ⚙️'!$AF$8:$AF$51))</f>
        <v>376</v>
      </c>
      <c r="JR9" s="99">
        <f>IF( 'Setup ⚙️'!$C$26 = "Show Weekdays Only",WORKDAY(JQ9,1,'Setup ⚙️'!$AF$8:$AF$51),WORKDAY.INTL(JQ9,1,"0000000",'Setup ⚙️'!$AF$8:$AF$51))</f>
        <v>377</v>
      </c>
      <c r="JS9" s="99">
        <f>IF( 'Setup ⚙️'!$C$26 = "Show Weekdays Only",WORKDAY(JR9,1,'Setup ⚙️'!$AF$8:$AF$51),WORKDAY.INTL(JR9,1,"0000000",'Setup ⚙️'!$AF$8:$AF$51))</f>
        <v>380</v>
      </c>
      <c r="JT9" s="99">
        <f>IF( 'Setup ⚙️'!$C$26 = "Show Weekdays Only",WORKDAY(JS9,1,'Setup ⚙️'!$AF$8:$AF$51),WORKDAY.INTL(JS9,1,"0000000",'Setup ⚙️'!$AF$8:$AF$51))</f>
        <v>381</v>
      </c>
      <c r="JU9" s="99">
        <f>IF( 'Setup ⚙️'!$C$26 = "Show Weekdays Only",WORKDAY(JT9,1,'Setup ⚙️'!$AF$8:$AF$51),WORKDAY.INTL(JT9,1,"0000000",'Setup ⚙️'!$AF$8:$AF$51))</f>
        <v>382</v>
      </c>
      <c r="JV9" s="99">
        <f>IF( 'Setup ⚙️'!$C$26 = "Show Weekdays Only",WORKDAY(JU9,1,'Setup ⚙️'!$AF$8:$AF$51),WORKDAY.INTL(JU9,1,"0000000",'Setup ⚙️'!$AF$8:$AF$51))</f>
        <v>383</v>
      </c>
      <c r="JW9" s="99">
        <f>IF( 'Setup ⚙️'!$C$26 = "Show Weekdays Only",WORKDAY(JV9,1,'Setup ⚙️'!$AF$8:$AF$51),WORKDAY.INTL(JV9,1,"0000000",'Setup ⚙️'!$AF$8:$AF$51))</f>
        <v>384</v>
      </c>
      <c r="JX9" s="99">
        <f>IF( 'Setup ⚙️'!$C$26 = "Show Weekdays Only",WORKDAY(JW9,1,'Setup ⚙️'!$AF$8:$AF$51),WORKDAY.INTL(JW9,1,"0000000",'Setup ⚙️'!$AF$8:$AF$51))</f>
        <v>387</v>
      </c>
      <c r="JY9" s="99">
        <f>IF( 'Setup ⚙️'!$C$26 = "Show Weekdays Only",WORKDAY(JX9,1,'Setup ⚙️'!$AF$8:$AF$51),WORKDAY.INTL(JX9,1,"0000000",'Setup ⚙️'!$AF$8:$AF$51))</f>
        <v>388</v>
      </c>
      <c r="JZ9" s="99">
        <f>IF( 'Setup ⚙️'!$C$26 = "Show Weekdays Only",WORKDAY(JY9,1,'Setup ⚙️'!$AF$8:$AF$51),WORKDAY.INTL(JY9,1,"0000000",'Setup ⚙️'!$AF$8:$AF$51))</f>
        <v>389</v>
      </c>
      <c r="KA9" s="99">
        <f>IF( 'Setup ⚙️'!$C$26 = "Show Weekdays Only",WORKDAY(JZ9,1,'Setup ⚙️'!$AF$8:$AF$51),WORKDAY.INTL(JZ9,1,"0000000",'Setup ⚙️'!$AF$8:$AF$51))</f>
        <v>390</v>
      </c>
      <c r="KB9" s="99">
        <f>IF( 'Setup ⚙️'!$C$26 = "Show Weekdays Only",WORKDAY(KA9,1,'Setup ⚙️'!$AF$8:$AF$51),WORKDAY.INTL(KA9,1,"0000000",'Setup ⚙️'!$AF$8:$AF$51))</f>
        <v>391</v>
      </c>
      <c r="KC9" s="99">
        <f>IF( 'Setup ⚙️'!$C$26 = "Show Weekdays Only",WORKDAY(KB9,1,'Setup ⚙️'!$AF$8:$AF$51),WORKDAY.INTL(KB9,1,"0000000",'Setup ⚙️'!$AF$8:$AF$51))</f>
        <v>394</v>
      </c>
      <c r="KD9" s="99">
        <f>IF( 'Setup ⚙️'!$C$26 = "Show Weekdays Only",WORKDAY(KC9,1,'Setup ⚙️'!$AF$8:$AF$51),WORKDAY.INTL(KC9,1,"0000000",'Setup ⚙️'!$AF$8:$AF$51))</f>
        <v>395</v>
      </c>
      <c r="KE9" s="99">
        <f>IF( 'Setup ⚙️'!$C$26 = "Show Weekdays Only",WORKDAY(KD9,1,'Setup ⚙️'!$AF$8:$AF$51),WORKDAY.INTL(KD9,1,"0000000",'Setup ⚙️'!$AF$8:$AF$51))</f>
        <v>396</v>
      </c>
      <c r="KF9" s="99">
        <f>IF( 'Setup ⚙️'!$C$26 = "Show Weekdays Only",WORKDAY(KE9,1,'Setup ⚙️'!$AF$8:$AF$51),WORKDAY.INTL(KE9,1,"0000000",'Setup ⚙️'!$AF$8:$AF$51))</f>
        <v>397</v>
      </c>
      <c r="KG9" s="99">
        <f>IF( 'Setup ⚙️'!$C$26 = "Show Weekdays Only",WORKDAY(KF9,1,'Setup ⚙️'!$AF$8:$AF$51),WORKDAY.INTL(KF9,1,"0000000",'Setup ⚙️'!$AF$8:$AF$51))</f>
        <v>398</v>
      </c>
      <c r="KH9" s="99">
        <f>IF( 'Setup ⚙️'!$C$26 = "Show Weekdays Only",WORKDAY(KG9,1,'Setup ⚙️'!$AF$8:$AF$51),WORKDAY.INTL(KG9,1,"0000000",'Setup ⚙️'!$AF$8:$AF$51))</f>
        <v>401</v>
      </c>
      <c r="KI9" s="99">
        <f>IF( 'Setup ⚙️'!$C$26 = "Show Weekdays Only",WORKDAY(KH9,1,'Setup ⚙️'!$AF$8:$AF$51),WORKDAY.INTL(KH9,1,"0000000",'Setup ⚙️'!$AF$8:$AF$51))</f>
        <v>402</v>
      </c>
      <c r="KJ9" s="99">
        <f>IF( 'Setup ⚙️'!$C$26 = "Show Weekdays Only",WORKDAY(KI9,1,'Setup ⚙️'!$AF$8:$AF$51),WORKDAY.INTL(KI9,1,"0000000",'Setup ⚙️'!$AF$8:$AF$51))</f>
        <v>403</v>
      </c>
      <c r="KK9" s="99">
        <f>IF( 'Setup ⚙️'!$C$26 = "Show Weekdays Only",WORKDAY(KJ9,1,'Setup ⚙️'!$AF$8:$AF$51),WORKDAY.INTL(KJ9,1,"0000000",'Setup ⚙️'!$AF$8:$AF$51))</f>
        <v>404</v>
      </c>
      <c r="KL9" s="99">
        <f>IF( 'Setup ⚙️'!$C$26 = "Show Weekdays Only",WORKDAY(KK9,1,'Setup ⚙️'!$AF$8:$AF$51),WORKDAY.INTL(KK9,1,"0000000",'Setup ⚙️'!$AF$8:$AF$51))</f>
        <v>405</v>
      </c>
      <c r="KM9" s="99">
        <f>IF( 'Setup ⚙️'!$C$26 = "Show Weekdays Only",WORKDAY(KL9,1,'Setup ⚙️'!$AF$8:$AF$51),WORKDAY.INTL(KL9,1,"0000000",'Setup ⚙️'!$AF$8:$AF$51))</f>
        <v>408</v>
      </c>
      <c r="KN9" s="99">
        <f>IF( 'Setup ⚙️'!$C$26 = "Show Weekdays Only",WORKDAY(KM9,1,'Setup ⚙️'!$AF$8:$AF$51),WORKDAY.INTL(KM9,1,"0000000",'Setup ⚙️'!$AF$8:$AF$51))</f>
        <v>409</v>
      </c>
      <c r="KO9" s="99">
        <f>IF( 'Setup ⚙️'!$C$26 = "Show Weekdays Only",WORKDAY(KN9,1,'Setup ⚙️'!$AF$8:$AF$51),WORKDAY.INTL(KN9,1,"0000000",'Setup ⚙️'!$AF$8:$AF$51))</f>
        <v>410</v>
      </c>
      <c r="KP9" s="99">
        <f>IF( 'Setup ⚙️'!$C$26 = "Show Weekdays Only",WORKDAY(KO9,1,'Setup ⚙️'!$AF$8:$AF$51),WORKDAY.INTL(KO9,1,"0000000",'Setup ⚙️'!$AF$8:$AF$51))</f>
        <v>411</v>
      </c>
      <c r="KQ9" s="99">
        <f>IF( 'Setup ⚙️'!$C$26 = "Show Weekdays Only",WORKDAY(KP9,1,'Setup ⚙️'!$AF$8:$AF$51),WORKDAY.INTL(KP9,1,"0000000",'Setup ⚙️'!$AF$8:$AF$51))</f>
        <v>412</v>
      </c>
      <c r="KR9" s="99">
        <f>IF( 'Setup ⚙️'!$C$26 = "Show Weekdays Only",WORKDAY(KQ9,1,'Setup ⚙️'!$AF$8:$AF$51),WORKDAY.INTL(KQ9,1,"0000000",'Setup ⚙️'!$AF$8:$AF$51))</f>
        <v>415</v>
      </c>
      <c r="KS9" s="99">
        <f>IF( 'Setup ⚙️'!$C$26 = "Show Weekdays Only",WORKDAY(KR9,1,'Setup ⚙️'!$AF$8:$AF$51),WORKDAY.INTL(KR9,1,"0000000",'Setup ⚙️'!$AF$8:$AF$51))</f>
        <v>416</v>
      </c>
      <c r="KT9" s="99">
        <f>IF( 'Setup ⚙️'!$C$26 = "Show Weekdays Only",WORKDAY(KS9,1,'Setup ⚙️'!$AF$8:$AF$51),WORKDAY.INTL(KS9,1,"0000000",'Setup ⚙️'!$AF$8:$AF$51))</f>
        <v>417</v>
      </c>
      <c r="KU9" s="99">
        <f>IF( 'Setup ⚙️'!$C$26 = "Show Weekdays Only",WORKDAY(KT9,1,'Setup ⚙️'!$AF$8:$AF$51),WORKDAY.INTL(KT9,1,"0000000",'Setup ⚙️'!$AF$8:$AF$51))</f>
        <v>418</v>
      </c>
      <c r="KV9" s="99">
        <f>IF( 'Setup ⚙️'!$C$26 = "Show Weekdays Only",WORKDAY(KU9,1,'Setup ⚙️'!$AF$8:$AF$51),WORKDAY.INTL(KU9,1,"0000000",'Setup ⚙️'!$AF$8:$AF$51))</f>
        <v>419</v>
      </c>
      <c r="KW9" s="99">
        <f>IF( 'Setup ⚙️'!$C$26 = "Show Weekdays Only",WORKDAY(KV9,1,'Setup ⚙️'!$AF$8:$AF$51),WORKDAY.INTL(KV9,1,"0000000",'Setup ⚙️'!$AF$8:$AF$51))</f>
        <v>422</v>
      </c>
      <c r="KX9" s="99">
        <f>IF( 'Setup ⚙️'!$C$26 = "Show Weekdays Only",WORKDAY(KW9,1,'Setup ⚙️'!$AF$8:$AF$51),WORKDAY.INTL(KW9,1,"0000000",'Setup ⚙️'!$AF$8:$AF$51))</f>
        <v>423</v>
      </c>
      <c r="KY9" s="99">
        <f>IF( 'Setup ⚙️'!$C$26 = "Show Weekdays Only",WORKDAY(KX9,1,'Setup ⚙️'!$AF$8:$AF$51),WORKDAY.INTL(KX9,1,"0000000",'Setup ⚙️'!$AF$8:$AF$51))</f>
        <v>424</v>
      </c>
      <c r="KZ9" s="99">
        <f>IF( 'Setup ⚙️'!$C$26 = "Show Weekdays Only",WORKDAY(KY9,1,'Setup ⚙️'!$AF$8:$AF$51),WORKDAY.INTL(KY9,1,"0000000",'Setup ⚙️'!$AF$8:$AF$51))</f>
        <v>425</v>
      </c>
      <c r="LA9" s="99">
        <f>IF( 'Setup ⚙️'!$C$26 = "Show Weekdays Only",WORKDAY(KZ9,1,'Setup ⚙️'!$AF$8:$AF$51),WORKDAY.INTL(KZ9,1,"0000000",'Setup ⚙️'!$AF$8:$AF$51))</f>
        <v>426</v>
      </c>
      <c r="LB9" s="99">
        <f>IF( 'Setup ⚙️'!$C$26 = "Show Weekdays Only",WORKDAY(LA9,1,'Setup ⚙️'!$AF$8:$AF$51),WORKDAY.INTL(LA9,1,"0000000",'Setup ⚙️'!$AF$8:$AF$51))</f>
        <v>429</v>
      </c>
      <c r="LC9" s="99">
        <f>IF( 'Setup ⚙️'!$C$26 = "Show Weekdays Only",WORKDAY(LB9,1,'Setup ⚙️'!$AF$8:$AF$51),WORKDAY.INTL(LB9,1,"0000000",'Setup ⚙️'!$AF$8:$AF$51))</f>
        <v>430</v>
      </c>
      <c r="LD9" s="99">
        <f>IF( 'Setup ⚙️'!$C$26 = "Show Weekdays Only",WORKDAY(LC9,1,'Setup ⚙️'!$AF$8:$AF$51),WORKDAY.INTL(LC9,1,"0000000",'Setup ⚙️'!$AF$8:$AF$51))</f>
        <v>431</v>
      </c>
      <c r="LE9" s="99">
        <f>IF( 'Setup ⚙️'!$C$26 = "Show Weekdays Only",WORKDAY(LD9,1,'Setup ⚙️'!$AF$8:$AF$51),WORKDAY.INTL(LD9,1,"0000000",'Setup ⚙️'!$AF$8:$AF$51))</f>
        <v>432</v>
      </c>
      <c r="LF9" s="99">
        <f>IF( 'Setup ⚙️'!$C$26 = "Show Weekdays Only",WORKDAY(LE9,1,'Setup ⚙️'!$AF$8:$AF$51),WORKDAY.INTL(LE9,1,"0000000",'Setup ⚙️'!$AF$8:$AF$51))</f>
        <v>433</v>
      </c>
      <c r="LG9" s="99">
        <f>IF( 'Setup ⚙️'!$C$26 = "Show Weekdays Only",WORKDAY(LF9,1,'Setup ⚙️'!$AF$8:$AF$51),WORKDAY.INTL(LF9,1,"0000000",'Setup ⚙️'!$AF$8:$AF$51))</f>
        <v>436</v>
      </c>
      <c r="LH9" s="99">
        <f>IF( 'Setup ⚙️'!$C$26 = "Show Weekdays Only",WORKDAY(LG9,1,'Setup ⚙️'!$AF$8:$AF$51),WORKDAY.INTL(LG9,1,"0000000",'Setup ⚙️'!$AF$8:$AF$51))</f>
        <v>437</v>
      </c>
      <c r="LI9" s="99">
        <f>IF( 'Setup ⚙️'!$C$26 = "Show Weekdays Only",WORKDAY(LH9,1,'Setup ⚙️'!$AF$8:$AF$51),WORKDAY.INTL(LH9,1,"0000000",'Setup ⚙️'!$AF$8:$AF$51))</f>
        <v>438</v>
      </c>
      <c r="LJ9" s="99">
        <f>IF( 'Setup ⚙️'!$C$26 = "Show Weekdays Only",WORKDAY(LI9,1,'Setup ⚙️'!$AF$8:$AF$51),WORKDAY.INTL(LI9,1,"0000000",'Setup ⚙️'!$AF$8:$AF$51))</f>
        <v>439</v>
      </c>
      <c r="LK9" s="99">
        <f>IF( 'Setup ⚙️'!$C$26 = "Show Weekdays Only",WORKDAY(LJ9,1,'Setup ⚙️'!$AF$8:$AF$51),WORKDAY.INTL(LJ9,1,"0000000",'Setup ⚙️'!$AF$8:$AF$51))</f>
        <v>440</v>
      </c>
      <c r="LL9" s="99">
        <f>IF( 'Setup ⚙️'!$C$26 = "Show Weekdays Only",WORKDAY(LK9,1,'Setup ⚙️'!$AF$8:$AF$51),WORKDAY.INTL(LK9,1,"0000000",'Setup ⚙️'!$AF$8:$AF$51))</f>
        <v>443</v>
      </c>
      <c r="LM9" s="99">
        <f>IF( 'Setup ⚙️'!$C$26 = "Show Weekdays Only",WORKDAY(LL9,1,'Setup ⚙️'!$AF$8:$AF$51),WORKDAY.INTL(LL9,1,"0000000",'Setup ⚙️'!$AF$8:$AF$51))</f>
        <v>444</v>
      </c>
      <c r="LN9" s="99">
        <f>IF( 'Setup ⚙️'!$C$26 = "Show Weekdays Only",WORKDAY(LM9,1,'Setup ⚙️'!$AF$8:$AF$51),WORKDAY.INTL(LM9,1,"0000000",'Setup ⚙️'!$AF$8:$AF$51))</f>
        <v>445</v>
      </c>
      <c r="LO9" s="99">
        <f>IF( 'Setup ⚙️'!$C$26 = "Show Weekdays Only",WORKDAY(LN9,1,'Setup ⚙️'!$AF$8:$AF$51),WORKDAY.INTL(LN9,1,"0000000",'Setup ⚙️'!$AF$8:$AF$51))</f>
        <v>446</v>
      </c>
      <c r="LP9" s="99">
        <f>IF( 'Setup ⚙️'!$C$26 = "Show Weekdays Only",WORKDAY(LO9,1,'Setup ⚙️'!$AF$8:$AF$51),WORKDAY.INTL(LO9,1,"0000000",'Setup ⚙️'!$AF$8:$AF$51))</f>
        <v>447</v>
      </c>
      <c r="LQ9" s="99">
        <f>IF( 'Setup ⚙️'!$C$26 = "Show Weekdays Only",WORKDAY(LP9,1,'Setup ⚙️'!$AF$8:$AF$51),WORKDAY.INTL(LP9,1,"0000000",'Setup ⚙️'!$AF$8:$AF$51))</f>
        <v>450</v>
      </c>
      <c r="LR9" s="99">
        <f>IF( 'Setup ⚙️'!$C$26 = "Show Weekdays Only",WORKDAY(LQ9,1,'Setup ⚙️'!$AF$8:$AF$51),WORKDAY.INTL(LQ9,1,"0000000",'Setup ⚙️'!$AF$8:$AF$51))</f>
        <v>451</v>
      </c>
      <c r="LS9" s="99">
        <f>IF( 'Setup ⚙️'!$C$26 = "Show Weekdays Only",WORKDAY(LR9,1,'Setup ⚙️'!$AF$8:$AF$51),WORKDAY.INTL(LR9,1,"0000000",'Setup ⚙️'!$AF$8:$AF$51))</f>
        <v>452</v>
      </c>
      <c r="LT9" s="99">
        <f>IF( 'Setup ⚙️'!$C$26 = "Show Weekdays Only",WORKDAY(LS9,1,'Setup ⚙️'!$AF$8:$AF$51),WORKDAY.INTL(LS9,1,"0000000",'Setup ⚙️'!$AF$8:$AF$51))</f>
        <v>453</v>
      </c>
      <c r="LU9" s="99">
        <f>IF( 'Setup ⚙️'!$C$26 = "Show Weekdays Only",WORKDAY(LT9,1,'Setup ⚙️'!$AF$8:$AF$51),WORKDAY.INTL(LT9,1,"0000000",'Setup ⚙️'!$AF$8:$AF$51))</f>
        <v>454</v>
      </c>
      <c r="LV9" s="99">
        <f>IF( 'Setup ⚙️'!$C$26 = "Show Weekdays Only",WORKDAY(LU9,1,'Setup ⚙️'!$AF$8:$AF$51),WORKDAY.INTL(LU9,1,"0000000",'Setup ⚙️'!$AF$8:$AF$51))</f>
        <v>457</v>
      </c>
      <c r="LW9" s="99">
        <f>IF( 'Setup ⚙️'!$C$26 = "Show Weekdays Only",WORKDAY(LV9,1,'Setup ⚙️'!$AF$8:$AF$51),WORKDAY.INTL(LV9,1,"0000000",'Setup ⚙️'!$AF$8:$AF$51))</f>
        <v>458</v>
      </c>
      <c r="LX9" s="99">
        <f>IF( 'Setup ⚙️'!$C$26 = "Show Weekdays Only",WORKDAY(LW9,1,'Setup ⚙️'!$AF$8:$AF$51),WORKDAY.INTL(LW9,1,"0000000",'Setup ⚙️'!$AF$8:$AF$51))</f>
        <v>459</v>
      </c>
      <c r="LY9" s="99">
        <f>IF( 'Setup ⚙️'!$C$26 = "Show Weekdays Only",WORKDAY(LX9,1,'Setup ⚙️'!$AF$8:$AF$51),WORKDAY.INTL(LX9,1,"0000000",'Setup ⚙️'!$AF$8:$AF$51))</f>
        <v>460</v>
      </c>
      <c r="LZ9" s="99">
        <f>IF( 'Setup ⚙️'!$C$26 = "Show Weekdays Only",WORKDAY(LY9,1,'Setup ⚙️'!$AF$8:$AF$51),WORKDAY.INTL(LY9,1,"0000000",'Setup ⚙️'!$AF$8:$AF$51))</f>
        <v>461</v>
      </c>
      <c r="MA9" s="99">
        <f>IF( 'Setup ⚙️'!$C$26 = "Show Weekdays Only",WORKDAY(LZ9,1,'Setup ⚙️'!$AF$8:$AF$51),WORKDAY.INTL(LZ9,1,"0000000",'Setup ⚙️'!$AF$8:$AF$51))</f>
        <v>464</v>
      </c>
      <c r="MB9" s="99">
        <f>IF( 'Setup ⚙️'!$C$26 = "Show Weekdays Only",WORKDAY(MA9,1,'Setup ⚙️'!$AF$8:$AF$51),WORKDAY.INTL(MA9,1,"0000000",'Setup ⚙️'!$AF$8:$AF$51))</f>
        <v>465</v>
      </c>
      <c r="MC9" s="99">
        <f>IF( 'Setup ⚙️'!$C$26 = "Show Weekdays Only",WORKDAY(MB9,1,'Setup ⚙️'!$AF$8:$AF$51),WORKDAY.INTL(MB9,1,"0000000",'Setup ⚙️'!$AF$8:$AF$51))</f>
        <v>466</v>
      </c>
      <c r="MD9" s="99">
        <f>IF( 'Setup ⚙️'!$C$26 = "Show Weekdays Only",WORKDAY(MC9,1,'Setup ⚙️'!$AF$8:$AF$51),WORKDAY.INTL(MC9,1,"0000000",'Setup ⚙️'!$AF$8:$AF$51))</f>
        <v>467</v>
      </c>
      <c r="ME9" s="99">
        <f>IF( 'Setup ⚙️'!$C$26 = "Show Weekdays Only",WORKDAY(MD9,1,'Setup ⚙️'!$AF$8:$AF$51),WORKDAY.INTL(MD9,1,"0000000",'Setup ⚙️'!$AF$8:$AF$51))</f>
        <v>468</v>
      </c>
      <c r="MF9" s="99">
        <f>IF( 'Setup ⚙️'!$C$26 = "Show Weekdays Only",WORKDAY(ME9,1,'Setup ⚙️'!$AF$8:$AF$51),WORKDAY.INTL(ME9,1,"0000000",'Setup ⚙️'!$AF$8:$AF$51))</f>
        <v>471</v>
      </c>
      <c r="MG9" s="99">
        <f>IF( 'Setup ⚙️'!$C$26 = "Show Weekdays Only",WORKDAY(MF9,1,'Setup ⚙️'!$AF$8:$AF$51),WORKDAY.INTL(MF9,1,"0000000",'Setup ⚙️'!$AF$8:$AF$51))</f>
        <v>472</v>
      </c>
      <c r="MH9" s="99">
        <f>IF( 'Setup ⚙️'!$C$26 = "Show Weekdays Only",WORKDAY(MG9,1,'Setup ⚙️'!$AF$8:$AF$51),WORKDAY.INTL(MG9,1,"0000000",'Setup ⚙️'!$AF$8:$AF$51))</f>
        <v>473</v>
      </c>
      <c r="MI9" s="99">
        <f>IF( 'Setup ⚙️'!$C$26 = "Show Weekdays Only",WORKDAY(MH9,1,'Setup ⚙️'!$AF$8:$AF$51),WORKDAY.INTL(MH9,1,"0000000",'Setup ⚙️'!$AF$8:$AF$51))</f>
        <v>474</v>
      </c>
      <c r="MJ9" s="99">
        <f>IF( 'Setup ⚙️'!$C$26 = "Show Weekdays Only",WORKDAY(MI9,1,'Setup ⚙️'!$AF$8:$AF$51),WORKDAY.INTL(MI9,1,"0000000",'Setup ⚙️'!$AF$8:$AF$51))</f>
        <v>475</v>
      </c>
      <c r="MK9" s="99">
        <f>IF( 'Setup ⚙️'!$C$26 = "Show Weekdays Only",WORKDAY(MJ9,1,'Setup ⚙️'!$AF$8:$AF$51),WORKDAY.INTL(MJ9,1,"0000000",'Setup ⚙️'!$AF$8:$AF$51))</f>
        <v>478</v>
      </c>
      <c r="ML9" s="99">
        <f>IF( 'Setup ⚙️'!$C$26 = "Show Weekdays Only",WORKDAY(MK9,1,'Setup ⚙️'!$AF$8:$AF$51),WORKDAY.INTL(MK9,1,"0000000",'Setup ⚙️'!$AF$8:$AF$51))</f>
        <v>479</v>
      </c>
      <c r="MM9" s="99">
        <f>IF( 'Setup ⚙️'!$C$26 = "Show Weekdays Only",WORKDAY(ML9,1,'Setup ⚙️'!$AF$8:$AF$51),WORKDAY.INTL(ML9,1,"0000000",'Setup ⚙️'!$AF$8:$AF$51))</f>
        <v>480</v>
      </c>
      <c r="MN9" s="99">
        <f>IF( 'Setup ⚙️'!$C$26 = "Show Weekdays Only",WORKDAY(MM9,1,'Setup ⚙️'!$AF$8:$AF$51),WORKDAY.INTL(MM9,1,"0000000",'Setup ⚙️'!$AF$8:$AF$51))</f>
        <v>481</v>
      </c>
      <c r="MO9" s="99">
        <f>IF( 'Setup ⚙️'!$C$26 = "Show Weekdays Only",WORKDAY(MN9,1,'Setup ⚙️'!$AF$8:$AF$51),WORKDAY.INTL(MN9,1,"0000000",'Setup ⚙️'!$AF$8:$AF$51))</f>
        <v>482</v>
      </c>
      <c r="MP9" s="99">
        <f>IF( 'Setup ⚙️'!$C$26 = "Show Weekdays Only",WORKDAY(MO9,1,'Setup ⚙️'!$AF$8:$AF$51),WORKDAY.INTL(MO9,1,"0000000",'Setup ⚙️'!$AF$8:$AF$51))</f>
        <v>485</v>
      </c>
      <c r="MQ9" s="99">
        <f>IF( 'Setup ⚙️'!$C$26 = "Show Weekdays Only",WORKDAY(MP9,1,'Setup ⚙️'!$AF$8:$AF$51),WORKDAY.INTL(MP9,1,"0000000",'Setup ⚙️'!$AF$8:$AF$51))</f>
        <v>486</v>
      </c>
      <c r="MR9" s="99">
        <f>IF( 'Setup ⚙️'!$C$26 = "Show Weekdays Only",WORKDAY(MQ9,1,'Setup ⚙️'!$AF$8:$AF$51),WORKDAY.INTL(MQ9,1,"0000000",'Setup ⚙️'!$AF$8:$AF$51))</f>
        <v>487</v>
      </c>
      <c r="MS9" s="99">
        <f>IF( 'Setup ⚙️'!$C$26 = "Show Weekdays Only",WORKDAY(MR9,1,'Setup ⚙️'!$AF$8:$AF$51),WORKDAY.INTL(MR9,1,"0000000",'Setup ⚙️'!$AF$8:$AF$51))</f>
        <v>488</v>
      </c>
      <c r="MT9" s="99">
        <f>IF( 'Setup ⚙️'!$C$26 = "Show Weekdays Only",WORKDAY(MS9,1,'Setup ⚙️'!$AF$8:$AF$51),WORKDAY.INTL(MS9,1,"0000000",'Setup ⚙️'!$AF$8:$AF$51))</f>
        <v>489</v>
      </c>
      <c r="MU9" s="99">
        <f>IF( 'Setup ⚙️'!$C$26 = "Show Weekdays Only",WORKDAY(MT9,1,'Setup ⚙️'!$AF$8:$AF$51),WORKDAY.INTL(MT9,1,"0000000",'Setup ⚙️'!$AF$8:$AF$51))</f>
        <v>492</v>
      </c>
      <c r="MV9" s="99">
        <f>IF( 'Setup ⚙️'!$C$26 = "Show Weekdays Only",WORKDAY(MU9,1,'Setup ⚙️'!$AF$8:$AF$51),WORKDAY.INTL(MU9,1,"0000000",'Setup ⚙️'!$AF$8:$AF$51))</f>
        <v>493</v>
      </c>
      <c r="MW9" s="99">
        <f>IF( 'Setup ⚙️'!$C$26 = "Show Weekdays Only",WORKDAY(MV9,1,'Setup ⚙️'!$AF$8:$AF$51),WORKDAY.INTL(MV9,1,"0000000",'Setup ⚙️'!$AF$8:$AF$51))</f>
        <v>494</v>
      </c>
      <c r="MX9" s="99">
        <f>IF( 'Setup ⚙️'!$C$26 = "Show Weekdays Only",WORKDAY(MW9,1,'Setup ⚙️'!$AF$8:$AF$51),WORKDAY.INTL(MW9,1,"0000000",'Setup ⚙️'!$AF$8:$AF$51))</f>
        <v>495</v>
      </c>
      <c r="MY9" s="99">
        <f>IF( 'Setup ⚙️'!$C$26 = "Show Weekdays Only",WORKDAY(MX9,1,'Setup ⚙️'!$AF$8:$AF$51),WORKDAY.INTL(MX9,1,"0000000",'Setup ⚙️'!$AF$8:$AF$51))</f>
        <v>496</v>
      </c>
      <c r="MZ9" s="99">
        <f>IF( 'Setup ⚙️'!$C$26 = "Show Weekdays Only",WORKDAY(MY9,1,'Setup ⚙️'!$AF$8:$AF$51),WORKDAY.INTL(MY9,1,"0000000",'Setup ⚙️'!$AF$8:$AF$51))</f>
        <v>499</v>
      </c>
      <c r="NA9" s="99">
        <f>IF( 'Setup ⚙️'!$C$26 = "Show Weekdays Only",WORKDAY(MZ9,1,'Setup ⚙️'!$AF$8:$AF$51),WORKDAY.INTL(MZ9,1,"0000000",'Setup ⚙️'!$AF$8:$AF$51))</f>
        <v>500</v>
      </c>
      <c r="NB9" s="99">
        <f>IF( 'Setup ⚙️'!$C$26 = "Show Weekdays Only",WORKDAY(NA9,1,'Setup ⚙️'!$AF$8:$AF$51),WORKDAY.INTL(NA9,1,"0000000",'Setup ⚙️'!$AF$8:$AF$51))</f>
        <v>501</v>
      </c>
      <c r="NC9" s="99">
        <f>IF( 'Setup ⚙️'!$C$26 = "Show Weekdays Only",WORKDAY(NB9,1,'Setup ⚙️'!$AF$8:$AF$51),WORKDAY.INTL(NB9,1,"0000000",'Setup ⚙️'!$AF$8:$AF$51))</f>
        <v>502</v>
      </c>
      <c r="ND9" s="99">
        <f>IF( 'Setup ⚙️'!$C$26 = "Show Weekdays Only",WORKDAY(NC9,1,'Setup ⚙️'!$AF$8:$AF$51),WORKDAY.INTL(NC9,1,"0000000",'Setup ⚙️'!$AF$8:$AF$51))</f>
        <v>503</v>
      </c>
      <c r="NE9" s="99">
        <f>IF( 'Setup ⚙️'!$C$26 = "Show Weekdays Only",WORKDAY(ND9,1,'Setup ⚙️'!$AF$8:$AF$51),WORKDAY.INTL(ND9,1,"0000000",'Setup ⚙️'!$AF$8:$AF$51))</f>
        <v>506</v>
      </c>
      <c r="NF9" s="99">
        <f>IF( 'Setup ⚙️'!$C$26 = "Show Weekdays Only",WORKDAY(NE9,1,'Setup ⚙️'!$AF$8:$AF$51),WORKDAY.INTL(NE9,1,"0000000",'Setup ⚙️'!$AF$8:$AF$51))</f>
        <v>507</v>
      </c>
      <c r="NG9" s="99">
        <f>IF( 'Setup ⚙️'!$C$26 = "Show Weekdays Only",WORKDAY(NF9,1,'Setup ⚙️'!$AF$8:$AF$51),WORKDAY.INTL(NF9,1,"0000000",'Setup ⚙️'!$AF$8:$AF$51))</f>
        <v>508</v>
      </c>
      <c r="NH9" s="99">
        <f>IF( 'Setup ⚙️'!$C$26 = "Show Weekdays Only",WORKDAY(NG9,1,'Setup ⚙️'!$AF$8:$AF$51),WORKDAY.INTL(NG9,1,"0000000",'Setup ⚙️'!$AF$8:$AF$51))</f>
        <v>509</v>
      </c>
      <c r="NI9" s="99">
        <f>IF( 'Setup ⚙️'!$C$26 = "Show Weekdays Only",WORKDAY(NH9,1,'Setup ⚙️'!$AF$8:$AF$51),WORKDAY.INTL(NH9,1,"0000000",'Setup ⚙️'!$AF$8:$AF$51))</f>
        <v>510</v>
      </c>
      <c r="NJ9" s="99">
        <f>IF( 'Setup ⚙️'!$C$26 = "Show Weekdays Only",WORKDAY(NI9,1,'Setup ⚙️'!$AF$8:$AF$51),WORKDAY.INTL(NI9,1,"0000000",'Setup ⚙️'!$AF$8:$AF$51))</f>
        <v>513</v>
      </c>
      <c r="NK9" s="99">
        <f>IF( 'Setup ⚙️'!$C$26 = "Show Weekdays Only",WORKDAY(NJ9,1,'Setup ⚙️'!$AF$8:$AF$51),WORKDAY.INTL(NJ9,1,"0000000",'Setup ⚙️'!$AF$8:$AF$51))</f>
        <v>514</v>
      </c>
      <c r="NL9" s="99">
        <f>IF( 'Setup ⚙️'!$C$26 = "Show Weekdays Only",WORKDAY(NK9,1,'Setup ⚙️'!$AF$8:$AF$51),WORKDAY.INTL(NK9,1,"0000000",'Setup ⚙️'!$AF$8:$AF$51))</f>
        <v>515</v>
      </c>
      <c r="NM9" s="99">
        <f>IF( 'Setup ⚙️'!$C$26 = "Show Weekdays Only",WORKDAY(NL9,1,'Setup ⚙️'!$AF$8:$AF$51),WORKDAY.INTL(NL9,1,"0000000",'Setup ⚙️'!$AF$8:$AF$51))</f>
        <v>516</v>
      </c>
      <c r="NN9" s="99">
        <f>IF( 'Setup ⚙️'!$C$26 = "Show Weekdays Only",WORKDAY(NM9,1,'Setup ⚙️'!$AF$8:$AF$51),WORKDAY.INTL(NM9,1,"0000000",'Setup ⚙️'!$AF$8:$AF$51))</f>
        <v>517</v>
      </c>
      <c r="NO9" s="99">
        <f>IF( 'Setup ⚙️'!$C$26 = "Show Weekdays Only",WORKDAY(NN9,1,'Setup ⚙️'!$AF$8:$AF$51),WORKDAY.INTL(NN9,1,"0000000",'Setup ⚙️'!$AF$8:$AF$51))</f>
        <v>520</v>
      </c>
      <c r="NP9" s="99">
        <f>IF( 'Setup ⚙️'!$C$26 = "Show Weekdays Only",WORKDAY(NO9,1,'Setup ⚙️'!$AF$8:$AF$51),WORKDAY.INTL(NO9,1,"0000000",'Setup ⚙️'!$AF$8:$AF$51))</f>
        <v>521</v>
      </c>
      <c r="NQ9" s="99">
        <f>IF( 'Setup ⚙️'!$C$26 = "Show Weekdays Only",WORKDAY(NP9,1,'Setup ⚙️'!$AF$8:$AF$51),WORKDAY.INTL(NP9,1,"0000000",'Setup ⚙️'!$AF$8:$AF$51))</f>
        <v>522</v>
      </c>
      <c r="NR9" s="99">
        <f>IF( 'Setup ⚙️'!$C$26 = "Show Weekdays Only",WORKDAY(NQ9,1,'Setup ⚙️'!$AF$8:$AF$51),WORKDAY.INTL(NQ9,1,"0000000",'Setup ⚙️'!$AF$8:$AF$51))</f>
        <v>523</v>
      </c>
      <c r="NS9" s="99">
        <f>IF( 'Setup ⚙️'!$C$26 = "Show Weekdays Only",WORKDAY(NR9,1,'Setup ⚙️'!$AF$8:$AF$51),WORKDAY.INTL(NR9,1,"0000000",'Setup ⚙️'!$AF$8:$AF$51))</f>
        <v>524</v>
      </c>
      <c r="NT9" s="99">
        <f>IF( 'Setup ⚙️'!$C$26 = "Show Weekdays Only",WORKDAY(NS9,1,'Setup ⚙️'!$AF$8:$AF$51),WORKDAY.INTL(NS9,1,"0000000",'Setup ⚙️'!$AF$8:$AF$51))</f>
        <v>527</v>
      </c>
      <c r="NU9" s="99">
        <f>IF( 'Setup ⚙️'!$C$26 = "Show Weekdays Only",WORKDAY(NT9,1,'Setup ⚙️'!$AF$8:$AF$51),WORKDAY.INTL(NT9,1,"0000000",'Setup ⚙️'!$AF$8:$AF$51))</f>
        <v>528</v>
      </c>
      <c r="NV9" s="99">
        <f>IF( 'Setup ⚙️'!$C$26 = "Show Weekdays Only",WORKDAY(NU9,1,'Setup ⚙️'!$AF$8:$AF$51),WORKDAY.INTL(NU9,1,"0000000",'Setup ⚙️'!$AF$8:$AF$51))</f>
        <v>529</v>
      </c>
      <c r="NW9" s="99">
        <f>IF( 'Setup ⚙️'!$C$26 = "Show Weekdays Only",WORKDAY(NV9,1,'Setup ⚙️'!$AF$8:$AF$51),WORKDAY.INTL(NV9,1,"0000000",'Setup ⚙️'!$AF$8:$AF$51))</f>
        <v>530</v>
      </c>
      <c r="NX9" s="99">
        <f>IF( 'Setup ⚙️'!$C$26 = "Show Weekdays Only",WORKDAY(NW9,1,'Setup ⚙️'!$AF$8:$AF$51),WORKDAY.INTL(NW9,1,"0000000",'Setup ⚙️'!$AF$8:$AF$51))</f>
        <v>531</v>
      </c>
      <c r="NY9" s="99">
        <f>IF( 'Setup ⚙️'!$C$26 = "Show Weekdays Only",WORKDAY(NX9,1,'Setup ⚙️'!$AF$8:$AF$51),WORKDAY.INTL(NX9,1,"0000000",'Setup ⚙️'!$AF$8:$AF$51))</f>
        <v>534</v>
      </c>
      <c r="NZ9" s="99">
        <f>IF( 'Setup ⚙️'!$C$26 = "Show Weekdays Only",WORKDAY(NY9,1,'Setup ⚙️'!$AF$8:$AF$51),WORKDAY.INTL(NY9,1,"0000000",'Setup ⚙️'!$AF$8:$AF$51))</f>
        <v>535</v>
      </c>
      <c r="OA9" s="99">
        <f>IF( 'Setup ⚙️'!$C$26 = "Show Weekdays Only",WORKDAY(NZ9,1,'Setup ⚙️'!$AF$8:$AF$51),WORKDAY.INTL(NZ9,1,"0000000",'Setup ⚙️'!$AF$8:$AF$51))</f>
        <v>536</v>
      </c>
      <c r="OB9" s="99">
        <f>IF( 'Setup ⚙️'!$C$26 = "Show Weekdays Only",WORKDAY(OA9,1,'Setup ⚙️'!$AF$8:$AF$51),WORKDAY.INTL(OA9,1,"0000000",'Setup ⚙️'!$AF$8:$AF$51))</f>
        <v>537</v>
      </c>
      <c r="OC9" s="99">
        <f>IF( 'Setup ⚙️'!$C$26 = "Show Weekdays Only",WORKDAY(OB9,1,'Setup ⚙️'!$AF$8:$AF$51),WORKDAY.INTL(OB9,1,"0000000",'Setup ⚙️'!$AF$8:$AF$51))</f>
        <v>538</v>
      </c>
      <c r="OD9" s="99">
        <f>IF( 'Setup ⚙️'!$C$26 = "Show Weekdays Only",WORKDAY(OC9,1,'Setup ⚙️'!$AF$8:$AF$51),WORKDAY.INTL(OC9,1,"0000000",'Setup ⚙️'!$AF$8:$AF$51))</f>
        <v>541</v>
      </c>
      <c r="OE9" s="99">
        <f>IF( 'Setup ⚙️'!$C$26 = "Show Weekdays Only",WORKDAY(OD9,1,'Setup ⚙️'!$AF$8:$AF$51),WORKDAY.INTL(OD9,1,"0000000",'Setup ⚙️'!$AF$8:$AF$51))</f>
        <v>542</v>
      </c>
      <c r="OF9" s="99">
        <f>IF( 'Setup ⚙️'!$C$26 = "Show Weekdays Only",WORKDAY(OE9,1,'Setup ⚙️'!$AF$8:$AF$51),WORKDAY.INTL(OE9,1,"0000000",'Setup ⚙️'!$AF$8:$AF$51))</f>
        <v>543</v>
      </c>
      <c r="OG9" s="99">
        <f>IF( 'Setup ⚙️'!$C$26 = "Show Weekdays Only",WORKDAY(OF9,1,'Setup ⚙️'!$AF$8:$AF$51),WORKDAY.INTL(OF9,1,"0000000",'Setup ⚙️'!$AF$8:$AF$51))</f>
        <v>544</v>
      </c>
      <c r="OH9" s="99">
        <f>IF( 'Setup ⚙️'!$C$26 = "Show Weekdays Only",WORKDAY(OG9,1,'Setup ⚙️'!$AF$8:$AF$51),WORKDAY.INTL(OG9,1,"0000000",'Setup ⚙️'!$AF$8:$AF$51))</f>
        <v>545</v>
      </c>
      <c r="OI9" s="99">
        <f>IF( 'Setup ⚙️'!$C$26 = "Show Weekdays Only",WORKDAY(OH9,1,'Setup ⚙️'!$AF$8:$AF$51),WORKDAY.INTL(OH9,1,"0000000",'Setup ⚙️'!$AF$8:$AF$51))</f>
        <v>548</v>
      </c>
      <c r="OJ9" s="99">
        <f>IF( 'Setup ⚙️'!$C$26 = "Show Weekdays Only",WORKDAY(OI9,1,'Setup ⚙️'!$AF$8:$AF$51),WORKDAY.INTL(OI9,1,"0000000",'Setup ⚙️'!$AF$8:$AF$51))</f>
        <v>549</v>
      </c>
      <c r="OK9" s="99">
        <f>IF( 'Setup ⚙️'!$C$26 = "Show Weekdays Only",WORKDAY(OJ9,1,'Setup ⚙️'!$AF$8:$AF$51),WORKDAY.INTL(OJ9,1,"0000000",'Setup ⚙️'!$AF$8:$AF$51))</f>
        <v>550</v>
      </c>
      <c r="OL9" s="99">
        <f>IF( 'Setup ⚙️'!$C$26 = "Show Weekdays Only",WORKDAY(OK9,1,'Setup ⚙️'!$AF$8:$AF$51),WORKDAY.INTL(OK9,1,"0000000",'Setup ⚙️'!$AF$8:$AF$51))</f>
        <v>551</v>
      </c>
      <c r="OM9" s="99">
        <f>IF( 'Setup ⚙️'!$C$26 = "Show Weekdays Only",WORKDAY(OL9,1,'Setup ⚙️'!$AF$8:$AF$51),WORKDAY.INTL(OL9,1,"0000000",'Setup ⚙️'!$AF$8:$AF$51))</f>
        <v>552</v>
      </c>
      <c r="ON9" s="99">
        <f>IF( 'Setup ⚙️'!$C$26 = "Show Weekdays Only",WORKDAY(OM9,1,'Setup ⚙️'!$AF$8:$AF$51),WORKDAY.INTL(OM9,1,"0000000",'Setup ⚙️'!$AF$8:$AF$51))</f>
        <v>555</v>
      </c>
      <c r="OO9" s="99">
        <f>IF( 'Setup ⚙️'!$C$26 = "Show Weekdays Only",WORKDAY(ON9,1,'Setup ⚙️'!$AF$8:$AF$51),WORKDAY.INTL(ON9,1,"0000000",'Setup ⚙️'!$AF$8:$AF$51))</f>
        <v>556</v>
      </c>
      <c r="OP9" s="99">
        <f>IF( 'Setup ⚙️'!$C$26 = "Show Weekdays Only",WORKDAY(OO9,1,'Setup ⚙️'!$AF$8:$AF$51),WORKDAY.INTL(OO9,1,"0000000",'Setup ⚙️'!$AF$8:$AF$51))</f>
        <v>557</v>
      </c>
      <c r="OQ9" s="99">
        <f>IF( 'Setup ⚙️'!$C$26 = "Show Weekdays Only",WORKDAY(OP9,1,'Setup ⚙️'!$AF$8:$AF$51),WORKDAY.INTL(OP9,1,"0000000",'Setup ⚙️'!$AF$8:$AF$51))</f>
        <v>558</v>
      </c>
      <c r="OR9" s="99">
        <f>IF( 'Setup ⚙️'!$C$26 = "Show Weekdays Only",WORKDAY(OQ9,1,'Setup ⚙️'!$AF$8:$AF$51),WORKDAY.INTL(OQ9,1,"0000000",'Setup ⚙️'!$AF$8:$AF$51))</f>
        <v>559</v>
      </c>
      <c r="OS9" s="99">
        <f>IF( 'Setup ⚙️'!$C$26 = "Show Weekdays Only",WORKDAY(OR9,1,'Setup ⚙️'!$AF$8:$AF$51),WORKDAY.INTL(OR9,1,"0000000",'Setup ⚙️'!$AF$8:$AF$51))</f>
        <v>562</v>
      </c>
      <c r="OT9" s="99">
        <f>IF( 'Setup ⚙️'!$C$26 = "Show Weekdays Only",WORKDAY(OS9,1,'Setup ⚙️'!$AF$8:$AF$51),WORKDAY.INTL(OS9,1,"0000000",'Setup ⚙️'!$AF$8:$AF$51))</f>
        <v>563</v>
      </c>
      <c r="OU9" s="99">
        <f>IF( 'Setup ⚙️'!$C$26 = "Show Weekdays Only",WORKDAY(OT9,1,'Setup ⚙️'!$AF$8:$AF$51),WORKDAY.INTL(OT9,1,"0000000",'Setup ⚙️'!$AF$8:$AF$51))</f>
        <v>564</v>
      </c>
      <c r="OV9" s="99">
        <f>IF( 'Setup ⚙️'!$C$26 = "Show Weekdays Only",WORKDAY(OU9,1,'Setup ⚙️'!$AF$8:$AF$51),WORKDAY.INTL(OU9,1,"0000000",'Setup ⚙️'!$AF$8:$AF$51))</f>
        <v>565</v>
      </c>
      <c r="OW9" s="99">
        <f>IF( 'Setup ⚙️'!$C$26 = "Show Weekdays Only",WORKDAY(OV9,1,'Setup ⚙️'!$AF$8:$AF$51),WORKDAY.INTL(OV9,1,"0000000",'Setup ⚙️'!$AF$8:$AF$51))</f>
        <v>566</v>
      </c>
      <c r="OX9" s="99">
        <f>IF( 'Setup ⚙️'!$C$26 = "Show Weekdays Only",WORKDAY(OW9,1,'Setup ⚙️'!$AF$8:$AF$51),WORKDAY.INTL(OW9,1,"0000000",'Setup ⚙️'!$AF$8:$AF$51))</f>
        <v>569</v>
      </c>
      <c r="OY9" s="99">
        <f>IF( 'Setup ⚙️'!$C$26 = "Show Weekdays Only",WORKDAY(OX9,1,'Setup ⚙️'!$AF$8:$AF$51),WORKDAY.INTL(OX9,1,"0000000",'Setup ⚙️'!$AF$8:$AF$51))</f>
        <v>570</v>
      </c>
      <c r="OZ9" s="99">
        <f>IF( 'Setup ⚙️'!$C$26 = "Show Weekdays Only",WORKDAY(OY9,1,'Setup ⚙️'!$AF$8:$AF$51),WORKDAY.INTL(OY9,1,"0000000",'Setup ⚙️'!$AF$8:$AF$51))</f>
        <v>571</v>
      </c>
      <c r="PA9" s="99">
        <f>IF( 'Setup ⚙️'!$C$26 = "Show Weekdays Only",WORKDAY(OZ9,1,'Setup ⚙️'!$AF$8:$AF$51),WORKDAY.INTL(OZ9,1,"0000000",'Setup ⚙️'!$AF$8:$AF$51))</f>
        <v>572</v>
      </c>
      <c r="PB9" s="99">
        <f>IF( 'Setup ⚙️'!$C$26 = "Show Weekdays Only",WORKDAY(PA9,1,'Setup ⚙️'!$AF$8:$AF$51),WORKDAY.INTL(PA9,1,"0000000",'Setup ⚙️'!$AF$8:$AF$51))</f>
        <v>573</v>
      </c>
      <c r="PC9" s="99">
        <f>IF( 'Setup ⚙️'!$C$26 = "Show Weekdays Only",WORKDAY(PB9,1,'Setup ⚙️'!$AF$8:$AF$51),WORKDAY.INTL(PB9,1,"0000000",'Setup ⚙️'!$AF$8:$AF$51))</f>
        <v>576</v>
      </c>
      <c r="PD9" s="99">
        <f>IF( 'Setup ⚙️'!$C$26 = "Show Weekdays Only",WORKDAY(PC9,1,'Setup ⚙️'!$AF$8:$AF$51),WORKDAY.INTL(PC9,1,"0000000",'Setup ⚙️'!$AF$8:$AF$51))</f>
        <v>577</v>
      </c>
      <c r="PE9" s="99">
        <f>IF( 'Setup ⚙️'!$C$26 = "Show Weekdays Only",WORKDAY(PD9,1,'Setup ⚙️'!$AF$8:$AF$51),WORKDAY.INTL(PD9,1,"0000000",'Setup ⚙️'!$AF$8:$AF$51))</f>
        <v>578</v>
      </c>
      <c r="PF9" s="99">
        <f>IF( 'Setup ⚙️'!$C$26 = "Show Weekdays Only",WORKDAY(PE9,1,'Setup ⚙️'!$AF$8:$AF$51),WORKDAY.INTL(PE9,1,"0000000",'Setup ⚙️'!$AF$8:$AF$51))</f>
        <v>579</v>
      </c>
      <c r="PG9" s="99">
        <f>IF( 'Setup ⚙️'!$C$26 = "Show Weekdays Only",WORKDAY(PF9,1,'Setup ⚙️'!$AF$8:$AF$51),WORKDAY.INTL(PF9,1,"0000000",'Setup ⚙️'!$AF$8:$AF$51))</f>
        <v>580</v>
      </c>
      <c r="PH9" s="99">
        <f>IF( 'Setup ⚙️'!$C$26 = "Show Weekdays Only",WORKDAY(PG9,1,'Setup ⚙️'!$AF$8:$AF$51),WORKDAY.INTL(PG9,1,"0000000",'Setup ⚙️'!$AF$8:$AF$51))</f>
        <v>583</v>
      </c>
      <c r="PI9" s="99">
        <f>IF( 'Setup ⚙️'!$C$26 = "Show Weekdays Only",WORKDAY(PH9,1,'Setup ⚙️'!$AF$8:$AF$51),WORKDAY.INTL(PH9,1,"0000000",'Setup ⚙️'!$AF$8:$AF$51))</f>
        <v>584</v>
      </c>
      <c r="PJ9" s="99">
        <f>IF( 'Setup ⚙️'!$C$26 = "Show Weekdays Only",WORKDAY(PI9,1,'Setup ⚙️'!$AF$8:$AF$51),WORKDAY.INTL(PI9,1,"0000000",'Setup ⚙️'!$AF$8:$AF$51))</f>
        <v>585</v>
      </c>
      <c r="PK9" s="99">
        <f>IF( 'Setup ⚙️'!$C$26 = "Show Weekdays Only",WORKDAY(PJ9,1,'Setup ⚙️'!$AF$8:$AF$51),WORKDAY.INTL(PJ9,1,"0000000",'Setup ⚙️'!$AF$8:$AF$51))</f>
        <v>586</v>
      </c>
      <c r="PL9" s="99">
        <f>IF( 'Setup ⚙️'!$C$26 = "Show Weekdays Only",WORKDAY(PK9,1,'Setup ⚙️'!$AF$8:$AF$51),WORKDAY.INTL(PK9,1,"0000000",'Setup ⚙️'!$AF$8:$AF$51))</f>
        <v>587</v>
      </c>
      <c r="PM9" s="99">
        <f>IF( 'Setup ⚙️'!$C$26 = "Show Weekdays Only",WORKDAY(PL9,1,'Setup ⚙️'!$AF$8:$AF$51),WORKDAY.INTL(PL9,1,"0000000",'Setup ⚙️'!$AF$8:$AF$51))</f>
        <v>590</v>
      </c>
      <c r="PN9" s="99">
        <f>IF( 'Setup ⚙️'!$C$26 = "Show Weekdays Only",WORKDAY(PM9,1,'Setup ⚙️'!$AF$8:$AF$51),WORKDAY.INTL(PM9,1,"0000000",'Setup ⚙️'!$AF$8:$AF$51))</f>
        <v>591</v>
      </c>
      <c r="PO9" s="99">
        <f>IF( 'Setup ⚙️'!$C$26 = "Show Weekdays Only",WORKDAY(PN9,1,'Setup ⚙️'!$AF$8:$AF$51),WORKDAY.INTL(PN9,1,"0000000",'Setup ⚙️'!$AF$8:$AF$51))</f>
        <v>592</v>
      </c>
      <c r="PP9" s="99">
        <f>IF( 'Setup ⚙️'!$C$26 = "Show Weekdays Only",WORKDAY(PO9,1,'Setup ⚙️'!$AF$8:$AF$51),WORKDAY.INTL(PO9,1,"0000000",'Setup ⚙️'!$AF$8:$AF$51))</f>
        <v>593</v>
      </c>
      <c r="PQ9" s="99">
        <f>IF( 'Setup ⚙️'!$C$26 = "Show Weekdays Only",WORKDAY(PP9,1,'Setup ⚙️'!$AF$8:$AF$51),WORKDAY.INTL(PP9,1,"0000000",'Setup ⚙️'!$AF$8:$AF$51))</f>
        <v>594</v>
      </c>
      <c r="PR9" s="99">
        <f>IF( 'Setup ⚙️'!$C$26 = "Show Weekdays Only",WORKDAY(PQ9,1,'Setup ⚙️'!$AF$8:$AF$51),WORKDAY.INTL(PQ9,1,"0000000",'Setup ⚙️'!$AF$8:$AF$51))</f>
        <v>597</v>
      </c>
      <c r="PS9" s="99">
        <f>IF( 'Setup ⚙️'!$C$26 = "Show Weekdays Only",WORKDAY(PR9,1,'Setup ⚙️'!$AF$8:$AF$51),WORKDAY.INTL(PR9,1,"0000000",'Setup ⚙️'!$AF$8:$AF$51))</f>
        <v>598</v>
      </c>
      <c r="PT9" s="99">
        <f>IF( 'Setup ⚙️'!$C$26 = "Show Weekdays Only",WORKDAY(PS9,1,'Setup ⚙️'!$AF$8:$AF$51),WORKDAY.INTL(PS9,1,"0000000",'Setup ⚙️'!$AF$8:$AF$51))</f>
        <v>599</v>
      </c>
      <c r="PU9" s="99">
        <f>IF( 'Setup ⚙️'!$C$26 = "Show Weekdays Only",WORKDAY(PT9,1,'Setup ⚙️'!$AF$8:$AF$51),WORKDAY.INTL(PT9,1,"0000000",'Setup ⚙️'!$AF$8:$AF$51))</f>
        <v>600</v>
      </c>
      <c r="PV9" s="99">
        <f>IF( 'Setup ⚙️'!$C$26 = "Show Weekdays Only",WORKDAY(PU9,1,'Setup ⚙️'!$AF$8:$AF$51),WORKDAY.INTL(PU9,1,"0000000",'Setup ⚙️'!$AF$8:$AF$51))</f>
        <v>601</v>
      </c>
      <c r="PW9" s="99">
        <f>IF( 'Setup ⚙️'!$C$26 = "Show Weekdays Only",WORKDAY(PV9,1,'Setup ⚙️'!$AF$8:$AF$51),WORKDAY.INTL(PV9,1,"0000000",'Setup ⚙️'!$AF$8:$AF$51))</f>
        <v>604</v>
      </c>
      <c r="PX9" s="99">
        <f>IF( 'Setup ⚙️'!$C$26 = "Show Weekdays Only",WORKDAY(PW9,1,'Setup ⚙️'!$AF$8:$AF$51),WORKDAY.INTL(PW9,1,"0000000",'Setup ⚙️'!$AF$8:$AF$51))</f>
        <v>605</v>
      </c>
      <c r="PY9" s="99">
        <f>IF( 'Setup ⚙️'!$C$26 = "Show Weekdays Only",WORKDAY(PX9,1,'Setup ⚙️'!$AF$8:$AF$51),WORKDAY.INTL(PX9,1,"0000000",'Setup ⚙️'!$AF$8:$AF$51))</f>
        <v>606</v>
      </c>
      <c r="PZ9" s="99">
        <f>IF( 'Setup ⚙️'!$C$26 = "Show Weekdays Only",WORKDAY(PY9,1,'Setup ⚙️'!$AF$8:$AF$51),WORKDAY.INTL(PY9,1,"0000000",'Setup ⚙️'!$AF$8:$AF$51))</f>
        <v>607</v>
      </c>
      <c r="QA9" s="99">
        <f>IF( 'Setup ⚙️'!$C$26 = "Show Weekdays Only",WORKDAY(PZ9,1,'Setup ⚙️'!$AF$8:$AF$51),WORKDAY.INTL(PZ9,1,"0000000",'Setup ⚙️'!$AF$8:$AF$51))</f>
        <v>608</v>
      </c>
      <c r="QB9" s="99">
        <f>IF( 'Setup ⚙️'!$C$26 = "Show Weekdays Only",WORKDAY(QA9,1,'Setup ⚙️'!$AF$8:$AF$51),WORKDAY.INTL(QA9,1,"0000000",'Setup ⚙️'!$AF$8:$AF$51))</f>
        <v>611</v>
      </c>
      <c r="QC9" s="99">
        <f>IF( 'Setup ⚙️'!$C$26 = "Show Weekdays Only",WORKDAY(QB9,1,'Setup ⚙️'!$AF$8:$AF$51),WORKDAY.INTL(QB9,1,"0000000",'Setup ⚙️'!$AF$8:$AF$51))</f>
        <v>612</v>
      </c>
      <c r="QD9" s="99">
        <f>IF( 'Setup ⚙️'!$C$26 = "Show Weekdays Only",WORKDAY(QC9,1,'Setup ⚙️'!$AF$8:$AF$51),WORKDAY.INTL(QC9,1,"0000000",'Setup ⚙️'!$AF$8:$AF$51))</f>
        <v>613</v>
      </c>
      <c r="QE9" s="99">
        <f>IF( 'Setup ⚙️'!$C$26 = "Show Weekdays Only",WORKDAY(QD9,1,'Setup ⚙️'!$AF$8:$AF$51),WORKDAY.INTL(QD9,1,"0000000",'Setup ⚙️'!$AF$8:$AF$51))</f>
        <v>614</v>
      </c>
      <c r="QF9" s="99">
        <f>IF( 'Setup ⚙️'!$C$26 = "Show Weekdays Only",WORKDAY(QE9,1,'Setup ⚙️'!$AF$8:$AF$51),WORKDAY.INTL(QE9,1,"0000000",'Setup ⚙️'!$AF$8:$AF$51))</f>
        <v>615</v>
      </c>
      <c r="QG9" s="99">
        <f>IF( 'Setup ⚙️'!$C$26 = "Show Weekdays Only",WORKDAY(QF9,1,'Setup ⚙️'!$AF$8:$AF$51),WORKDAY.INTL(QF9,1,"0000000",'Setup ⚙️'!$AF$8:$AF$51))</f>
        <v>618</v>
      </c>
      <c r="QH9" s="99">
        <f>IF( 'Setup ⚙️'!$C$26 = "Show Weekdays Only",WORKDAY(QG9,1,'Setup ⚙️'!$AF$8:$AF$51),WORKDAY.INTL(QG9,1,"0000000",'Setup ⚙️'!$AF$8:$AF$51))</f>
        <v>619</v>
      </c>
      <c r="QI9" s="99">
        <f>IF( 'Setup ⚙️'!$C$26 = "Show Weekdays Only",WORKDAY(QH9,1,'Setup ⚙️'!$AF$8:$AF$51),WORKDAY.INTL(QH9,1,"0000000",'Setup ⚙️'!$AF$8:$AF$51))</f>
        <v>620</v>
      </c>
      <c r="QJ9" s="99">
        <f>IF( 'Setup ⚙️'!$C$26 = "Show Weekdays Only",WORKDAY(QI9,1,'Setup ⚙️'!$AF$8:$AF$51),WORKDAY.INTL(QI9,1,"0000000",'Setup ⚙️'!$AF$8:$AF$51))</f>
        <v>621</v>
      </c>
      <c r="QK9" s="99">
        <f>IF( 'Setup ⚙️'!$C$26 = "Show Weekdays Only",WORKDAY(QJ9,1,'Setup ⚙️'!$AF$8:$AF$51),WORKDAY.INTL(QJ9,1,"0000000",'Setup ⚙️'!$AF$8:$AF$51))</f>
        <v>622</v>
      </c>
      <c r="QL9" s="99">
        <f>IF( 'Setup ⚙️'!$C$26 = "Show Weekdays Only",WORKDAY(QK9,1,'Setup ⚙️'!$AF$8:$AF$51),WORKDAY.INTL(QK9,1,"0000000",'Setup ⚙️'!$AF$8:$AF$51))</f>
        <v>625</v>
      </c>
      <c r="QM9" s="99">
        <f>IF( 'Setup ⚙️'!$C$26 = "Show Weekdays Only",WORKDAY(QL9,1,'Setup ⚙️'!$AF$8:$AF$51),WORKDAY.INTL(QL9,1,"0000000",'Setup ⚙️'!$AF$8:$AF$51))</f>
        <v>626</v>
      </c>
      <c r="QN9" s="99">
        <f>IF( 'Setup ⚙️'!$C$26 = "Show Weekdays Only",WORKDAY(QM9,1,'Setup ⚙️'!$AF$8:$AF$51),WORKDAY.INTL(QM9,1,"0000000",'Setup ⚙️'!$AF$8:$AF$51))</f>
        <v>627</v>
      </c>
      <c r="QO9" s="99">
        <f>IF( 'Setup ⚙️'!$C$26 = "Show Weekdays Only",WORKDAY(QN9,1,'Setup ⚙️'!$AF$8:$AF$51),WORKDAY.INTL(QN9,1,"0000000",'Setup ⚙️'!$AF$8:$AF$51))</f>
        <v>628</v>
      </c>
      <c r="QP9" s="99">
        <f>IF( 'Setup ⚙️'!$C$26 = "Show Weekdays Only",WORKDAY(QO9,1,'Setup ⚙️'!$AF$8:$AF$51),WORKDAY.INTL(QO9,1,"0000000",'Setup ⚙️'!$AF$8:$AF$51))</f>
        <v>629</v>
      </c>
      <c r="QQ9" s="99">
        <f>IF( 'Setup ⚙️'!$C$26 = "Show Weekdays Only",WORKDAY(QP9,1,'Setup ⚙️'!$AF$8:$AF$51),WORKDAY.INTL(QP9,1,"0000000",'Setup ⚙️'!$AF$8:$AF$51))</f>
        <v>632</v>
      </c>
      <c r="QR9" s="99">
        <f>IF( 'Setup ⚙️'!$C$26 = "Show Weekdays Only",WORKDAY(QQ9,1,'Setup ⚙️'!$AF$8:$AF$51),WORKDAY.INTL(QQ9,1,"0000000",'Setup ⚙️'!$AF$8:$AF$51))</f>
        <v>633</v>
      </c>
      <c r="QS9" s="99">
        <f>IF( 'Setup ⚙️'!$C$26 = "Show Weekdays Only",WORKDAY(QR9,1,'Setup ⚙️'!$AF$8:$AF$51),WORKDAY.INTL(QR9,1,"0000000",'Setup ⚙️'!$AF$8:$AF$51))</f>
        <v>634</v>
      </c>
      <c r="QT9" s="99">
        <f>IF( 'Setup ⚙️'!$C$26 = "Show Weekdays Only",WORKDAY(QS9,1,'Setup ⚙️'!$AF$8:$AF$51),WORKDAY.INTL(QS9,1,"0000000",'Setup ⚙️'!$AF$8:$AF$51))</f>
        <v>635</v>
      </c>
      <c r="QU9" s="99">
        <f>IF( 'Setup ⚙️'!$C$26 = "Show Weekdays Only",WORKDAY(QT9,1,'Setup ⚙️'!$AF$8:$AF$51),WORKDAY.INTL(QT9,1,"0000000",'Setup ⚙️'!$AF$8:$AF$51))</f>
        <v>636</v>
      </c>
      <c r="QV9" s="99">
        <f>IF( 'Setup ⚙️'!$C$26 = "Show Weekdays Only",WORKDAY(QU9,1,'Setup ⚙️'!$AF$8:$AF$51),WORKDAY.INTL(QU9,1,"0000000",'Setup ⚙️'!$AF$8:$AF$51))</f>
        <v>639</v>
      </c>
      <c r="QW9" s="99">
        <f>IF( 'Setup ⚙️'!$C$26 = "Show Weekdays Only",WORKDAY(QV9,1,'Setup ⚙️'!$AF$8:$AF$51),WORKDAY.INTL(QV9,1,"0000000",'Setup ⚙️'!$AF$8:$AF$51))</f>
        <v>640</v>
      </c>
      <c r="QX9" s="99">
        <f>IF( 'Setup ⚙️'!$C$26 = "Show Weekdays Only",WORKDAY(QW9,1,'Setup ⚙️'!$AF$8:$AF$51),WORKDAY.INTL(QW9,1,"0000000",'Setup ⚙️'!$AF$8:$AF$51))</f>
        <v>641</v>
      </c>
      <c r="QY9" s="99">
        <f>IF( 'Setup ⚙️'!$C$26 = "Show Weekdays Only",WORKDAY(QX9,1,'Setup ⚙️'!$AF$8:$AF$51),WORKDAY.INTL(QX9,1,"0000000",'Setup ⚙️'!$AF$8:$AF$51))</f>
        <v>642</v>
      </c>
      <c r="QZ9" s="99">
        <f>IF( 'Setup ⚙️'!$C$26 = "Show Weekdays Only",WORKDAY(QY9,1,'Setup ⚙️'!$AF$8:$AF$51),WORKDAY.INTL(QY9,1,"0000000",'Setup ⚙️'!$AF$8:$AF$51))</f>
        <v>643</v>
      </c>
      <c r="RA9" s="99">
        <f>IF( 'Setup ⚙️'!$C$26 = "Show Weekdays Only",WORKDAY(QZ9,1,'Setup ⚙️'!$AF$8:$AF$51),WORKDAY.INTL(QZ9,1,"0000000",'Setup ⚙️'!$AF$8:$AF$51))</f>
        <v>646</v>
      </c>
      <c r="RB9" s="99">
        <f>IF( 'Setup ⚙️'!$C$26 = "Show Weekdays Only",WORKDAY(RA9,1,'Setup ⚙️'!$AF$8:$AF$51),WORKDAY.INTL(RA9,1,"0000000",'Setup ⚙️'!$AF$8:$AF$51))</f>
        <v>647</v>
      </c>
      <c r="RC9" s="99">
        <f>IF( 'Setup ⚙️'!$C$26 = "Show Weekdays Only",WORKDAY(RB9,1,'Setup ⚙️'!$AF$8:$AF$51),WORKDAY.INTL(RB9,1,"0000000",'Setup ⚙️'!$AF$8:$AF$51))</f>
        <v>648</v>
      </c>
      <c r="RD9" s="99">
        <f>IF( 'Setup ⚙️'!$C$26 = "Show Weekdays Only",WORKDAY(RC9,1,'Setup ⚙️'!$AF$8:$AF$51),WORKDAY.INTL(RC9,1,"0000000",'Setup ⚙️'!$AF$8:$AF$51))</f>
        <v>649</v>
      </c>
      <c r="RE9" s="99">
        <f>IF( 'Setup ⚙️'!$C$26 = "Show Weekdays Only",WORKDAY(RD9,1,'Setup ⚙️'!$AF$8:$AF$51),WORKDAY.INTL(RD9,1,"0000000",'Setup ⚙️'!$AF$8:$AF$51))</f>
        <v>650</v>
      </c>
      <c r="RF9" s="99">
        <f>IF( 'Setup ⚙️'!$C$26 = "Show Weekdays Only",WORKDAY(RE9,1,'Setup ⚙️'!$AF$8:$AF$51),WORKDAY.INTL(RE9,1,"0000000",'Setup ⚙️'!$AF$8:$AF$51))</f>
        <v>653</v>
      </c>
      <c r="RG9" s="99">
        <f>IF( 'Setup ⚙️'!$C$26 = "Show Weekdays Only",WORKDAY(RF9,1,'Setup ⚙️'!$AF$8:$AF$51),WORKDAY.INTL(RF9,1,"0000000",'Setup ⚙️'!$AF$8:$AF$51))</f>
        <v>654</v>
      </c>
      <c r="RH9" s="99">
        <f>IF( 'Setup ⚙️'!$C$26 = "Show Weekdays Only",WORKDAY(RG9,1,'Setup ⚙️'!$AF$8:$AF$51),WORKDAY.INTL(RG9,1,"0000000",'Setup ⚙️'!$AF$8:$AF$51))</f>
        <v>655</v>
      </c>
      <c r="RI9" s="99">
        <f>IF( 'Setup ⚙️'!$C$26 = "Show Weekdays Only",WORKDAY(RH9,1,'Setup ⚙️'!$AF$8:$AF$51),WORKDAY.INTL(RH9,1,"0000000",'Setup ⚙️'!$AF$8:$AF$51))</f>
        <v>656</v>
      </c>
      <c r="RJ9" s="99">
        <f>IF( 'Setup ⚙️'!$C$26 = "Show Weekdays Only",WORKDAY(RI9,1,'Setup ⚙️'!$AF$8:$AF$51),WORKDAY.INTL(RI9,1,"0000000",'Setup ⚙️'!$AF$8:$AF$51))</f>
        <v>657</v>
      </c>
      <c r="RK9" s="99">
        <f>IF( 'Setup ⚙️'!$C$26 = "Show Weekdays Only",WORKDAY(RJ9,1,'Setup ⚙️'!$AF$8:$AF$51),WORKDAY.INTL(RJ9,1,"0000000",'Setup ⚙️'!$AF$8:$AF$51))</f>
        <v>660</v>
      </c>
      <c r="RL9" s="99">
        <f>IF( 'Setup ⚙️'!$C$26 = "Show Weekdays Only",WORKDAY(RK9,1,'Setup ⚙️'!$AF$8:$AF$51),WORKDAY.INTL(RK9,1,"0000000",'Setup ⚙️'!$AF$8:$AF$51))</f>
        <v>661</v>
      </c>
      <c r="RM9" s="99">
        <f>IF( 'Setup ⚙️'!$C$26 = "Show Weekdays Only",WORKDAY(RL9,1,'Setup ⚙️'!$AF$8:$AF$51),WORKDAY.INTL(RL9,1,"0000000",'Setup ⚙️'!$AF$8:$AF$51))</f>
        <v>662</v>
      </c>
      <c r="RN9" s="99">
        <f>IF( 'Setup ⚙️'!$C$26 = "Show Weekdays Only",WORKDAY(RM9,1,'Setup ⚙️'!$AF$8:$AF$51),WORKDAY.INTL(RM9,1,"0000000",'Setup ⚙️'!$AF$8:$AF$51))</f>
        <v>663</v>
      </c>
      <c r="RO9" s="99">
        <f>IF( 'Setup ⚙️'!$C$26 = "Show Weekdays Only",WORKDAY(RN9,1,'Setup ⚙️'!$AF$8:$AF$51),WORKDAY.INTL(RN9,1,"0000000",'Setup ⚙️'!$AF$8:$AF$51))</f>
        <v>664</v>
      </c>
      <c r="RP9" s="99">
        <f>IF( 'Setup ⚙️'!$C$26 = "Show Weekdays Only",WORKDAY(RO9,1,'Setup ⚙️'!$AF$8:$AF$51),WORKDAY.INTL(RO9,1,"0000000",'Setup ⚙️'!$AF$8:$AF$51))</f>
        <v>667</v>
      </c>
      <c r="RQ9" s="99">
        <f>IF( 'Setup ⚙️'!$C$26 = "Show Weekdays Only",WORKDAY(RP9,1,'Setup ⚙️'!$AF$8:$AF$51),WORKDAY.INTL(RP9,1,"0000000",'Setup ⚙️'!$AF$8:$AF$51))</f>
        <v>668</v>
      </c>
      <c r="RR9" s="99">
        <f>IF( 'Setup ⚙️'!$C$26 = "Show Weekdays Only",WORKDAY(RQ9,1,'Setup ⚙️'!$AF$8:$AF$51),WORKDAY.INTL(RQ9,1,"0000000",'Setup ⚙️'!$AF$8:$AF$51))</f>
        <v>669</v>
      </c>
      <c r="RS9" s="99">
        <f>IF( 'Setup ⚙️'!$C$26 = "Show Weekdays Only",WORKDAY(RR9,1,'Setup ⚙️'!$AF$8:$AF$51),WORKDAY.INTL(RR9,1,"0000000",'Setup ⚙️'!$AF$8:$AF$51))</f>
        <v>670</v>
      </c>
      <c r="RT9" s="99">
        <f>IF( 'Setup ⚙️'!$C$26 = "Show Weekdays Only",WORKDAY(RS9,1,'Setup ⚙️'!$AF$8:$AF$51),WORKDAY.INTL(RS9,1,"0000000",'Setup ⚙️'!$AF$8:$AF$51))</f>
        <v>671</v>
      </c>
      <c r="RU9" s="99">
        <f>IF( 'Setup ⚙️'!$C$26 = "Show Weekdays Only",WORKDAY(RT9,1,'Setup ⚙️'!$AF$8:$AF$51),WORKDAY.INTL(RT9,1,"0000000",'Setup ⚙️'!$AF$8:$AF$51))</f>
        <v>674</v>
      </c>
      <c r="RV9" s="99">
        <f>IF( 'Setup ⚙️'!$C$26 = "Show Weekdays Only",WORKDAY(RU9,1,'Setup ⚙️'!$AF$8:$AF$51),WORKDAY.INTL(RU9,1,"0000000",'Setup ⚙️'!$AF$8:$AF$51))</f>
        <v>675</v>
      </c>
      <c r="RW9" s="99">
        <f>IF( 'Setup ⚙️'!$C$26 = "Show Weekdays Only",WORKDAY(RV9,1,'Setup ⚙️'!$AF$8:$AF$51),WORKDAY.INTL(RV9,1,"0000000",'Setup ⚙️'!$AF$8:$AF$51))</f>
        <v>676</v>
      </c>
      <c r="RX9" s="99">
        <f>IF( 'Setup ⚙️'!$C$26 = "Show Weekdays Only",WORKDAY(RW9,1,'Setup ⚙️'!$AF$8:$AF$51),WORKDAY.INTL(RW9,1,"0000000",'Setup ⚙️'!$AF$8:$AF$51))</f>
        <v>677</v>
      </c>
      <c r="RY9" s="99">
        <f>IF( 'Setup ⚙️'!$C$26 = "Show Weekdays Only",WORKDAY(RX9,1,'Setup ⚙️'!$AF$8:$AF$51),WORKDAY.INTL(RX9,1,"0000000",'Setup ⚙️'!$AF$8:$AF$51))</f>
        <v>678</v>
      </c>
      <c r="RZ9" s="99">
        <f>IF( 'Setup ⚙️'!$C$26 = "Show Weekdays Only",WORKDAY(RY9,1,'Setup ⚙️'!$AF$8:$AF$51),WORKDAY.INTL(RY9,1,"0000000",'Setup ⚙️'!$AF$8:$AF$51))</f>
        <v>681</v>
      </c>
      <c r="SA9" s="99">
        <f>IF( 'Setup ⚙️'!$C$26 = "Show Weekdays Only",WORKDAY(RZ9,1,'Setup ⚙️'!$AF$8:$AF$51),WORKDAY.INTL(RZ9,1,"0000000",'Setup ⚙️'!$AF$8:$AF$51))</f>
        <v>682</v>
      </c>
      <c r="SB9" s="99">
        <f>IF( 'Setup ⚙️'!$C$26 = "Show Weekdays Only",WORKDAY(SA9,1,'Setup ⚙️'!$AF$8:$AF$51),WORKDAY.INTL(SA9,1,"0000000",'Setup ⚙️'!$AF$8:$AF$51))</f>
        <v>683</v>
      </c>
      <c r="SC9" s="99">
        <f>IF( 'Setup ⚙️'!$C$26 = "Show Weekdays Only",WORKDAY(SB9,1,'Setup ⚙️'!$AF$8:$AF$51),WORKDAY.INTL(SB9,1,"0000000",'Setup ⚙️'!$AF$8:$AF$51))</f>
        <v>684</v>
      </c>
    </row>
    <row r="10" spans="1:497" ht="21" customHeight="1" x14ac:dyDescent="0.15">
      <c r="A10" s="105"/>
      <c r="B10" s="105"/>
      <c r="C10" s="105"/>
      <c r="D10" s="105"/>
      <c r="E10" s="105"/>
      <c r="F10" s="120"/>
      <c r="G10" s="112"/>
      <c r="H10" s="114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  <c r="BK10" s="100"/>
      <c r="BL10" s="100"/>
      <c r="BM10" s="100"/>
      <c r="BN10" s="100"/>
      <c r="BO10" s="100"/>
      <c r="BP10" s="100"/>
      <c r="BQ10" s="100"/>
      <c r="BR10" s="100"/>
      <c r="BS10" s="100"/>
      <c r="BT10" s="100"/>
      <c r="BU10" s="100"/>
      <c r="BV10" s="100"/>
      <c r="BW10" s="100"/>
      <c r="BX10" s="100"/>
      <c r="BY10" s="100"/>
      <c r="BZ10" s="100"/>
      <c r="CA10" s="100"/>
      <c r="CB10" s="100"/>
      <c r="CC10" s="100"/>
      <c r="CD10" s="100"/>
      <c r="CE10" s="100"/>
      <c r="CF10" s="100"/>
      <c r="CG10" s="100"/>
      <c r="CH10" s="100"/>
      <c r="CI10" s="100"/>
      <c r="CJ10" s="100"/>
      <c r="CK10" s="100"/>
      <c r="CL10" s="100"/>
      <c r="CM10" s="100"/>
      <c r="CN10" s="100"/>
      <c r="CO10" s="100"/>
      <c r="CP10" s="100"/>
      <c r="CQ10" s="100"/>
      <c r="CR10" s="100"/>
      <c r="CS10" s="100"/>
      <c r="CT10" s="100"/>
      <c r="CU10" s="100"/>
      <c r="CV10" s="100"/>
      <c r="CW10" s="100"/>
      <c r="CX10" s="100"/>
      <c r="CY10" s="100"/>
      <c r="CZ10" s="100"/>
      <c r="DA10" s="100"/>
      <c r="DB10" s="100"/>
      <c r="DC10" s="100"/>
      <c r="DD10" s="100"/>
      <c r="DE10" s="100"/>
      <c r="DF10" s="100"/>
      <c r="DG10" s="100"/>
      <c r="DH10" s="100"/>
      <c r="DI10" s="100"/>
      <c r="DJ10" s="100"/>
      <c r="DK10" s="100"/>
      <c r="DL10" s="100"/>
      <c r="DM10" s="100"/>
      <c r="DN10" s="100"/>
      <c r="DO10" s="100"/>
      <c r="DP10" s="100"/>
      <c r="DQ10" s="100"/>
      <c r="DR10" s="100"/>
      <c r="DS10" s="100"/>
      <c r="DT10" s="100"/>
      <c r="DU10" s="100"/>
      <c r="DV10" s="100"/>
      <c r="DW10" s="100"/>
      <c r="DX10" s="100"/>
      <c r="DY10" s="100"/>
      <c r="DZ10" s="100"/>
      <c r="EA10" s="100"/>
      <c r="EB10" s="100"/>
      <c r="EC10" s="100"/>
      <c r="ED10" s="100"/>
      <c r="EE10" s="100"/>
      <c r="EF10" s="100"/>
      <c r="EG10" s="100"/>
      <c r="EH10" s="100"/>
      <c r="EI10" s="100"/>
      <c r="EJ10" s="100"/>
      <c r="EK10" s="100"/>
      <c r="EL10" s="100"/>
      <c r="EM10" s="100"/>
      <c r="EN10" s="100"/>
      <c r="EO10" s="100"/>
      <c r="EP10" s="100"/>
      <c r="EQ10" s="100"/>
      <c r="ER10" s="100"/>
      <c r="ES10" s="100"/>
      <c r="ET10" s="100"/>
      <c r="EU10" s="100"/>
      <c r="EV10" s="100"/>
      <c r="EW10" s="100"/>
      <c r="EX10" s="100"/>
      <c r="EY10" s="100"/>
      <c r="EZ10" s="100"/>
      <c r="FA10" s="100"/>
      <c r="FB10" s="100"/>
      <c r="FC10" s="100"/>
      <c r="FD10" s="100"/>
      <c r="FE10" s="100"/>
      <c r="FF10" s="100"/>
      <c r="FG10" s="100"/>
      <c r="FH10" s="100"/>
      <c r="FI10" s="100"/>
      <c r="FJ10" s="100"/>
      <c r="FK10" s="100"/>
      <c r="FL10" s="100"/>
      <c r="FM10" s="100"/>
      <c r="FN10" s="100"/>
      <c r="FO10" s="100"/>
      <c r="FP10" s="100"/>
      <c r="FQ10" s="100"/>
      <c r="FR10" s="100"/>
      <c r="FS10" s="100"/>
      <c r="FT10" s="100"/>
      <c r="FU10" s="100"/>
      <c r="FV10" s="100"/>
      <c r="FW10" s="100"/>
      <c r="FX10" s="100"/>
      <c r="FY10" s="100"/>
      <c r="FZ10" s="100"/>
      <c r="GA10" s="100"/>
      <c r="GB10" s="100"/>
      <c r="GC10" s="100"/>
      <c r="GD10" s="100"/>
      <c r="GE10" s="100"/>
      <c r="GF10" s="100"/>
      <c r="GG10" s="100"/>
      <c r="GH10" s="100"/>
      <c r="GI10" s="100"/>
      <c r="GJ10" s="100"/>
      <c r="GK10" s="100"/>
      <c r="GL10" s="100"/>
      <c r="GM10" s="100"/>
      <c r="GN10" s="100"/>
      <c r="GO10" s="100"/>
      <c r="GP10" s="100"/>
      <c r="GQ10" s="100"/>
      <c r="GR10" s="100"/>
      <c r="GS10" s="100"/>
      <c r="GT10" s="100"/>
      <c r="GU10" s="100"/>
      <c r="GV10" s="100"/>
      <c r="GW10" s="100"/>
      <c r="GX10" s="100"/>
      <c r="GY10" s="100"/>
      <c r="GZ10" s="100"/>
      <c r="HA10" s="100"/>
      <c r="HB10" s="100"/>
      <c r="HC10" s="100"/>
      <c r="HD10" s="100"/>
      <c r="HE10" s="100"/>
      <c r="HF10" s="100"/>
      <c r="HG10" s="100"/>
      <c r="HH10" s="100"/>
      <c r="HI10" s="100"/>
      <c r="HJ10" s="100"/>
      <c r="HK10" s="100"/>
      <c r="HL10" s="100"/>
      <c r="HM10" s="100"/>
      <c r="HN10" s="100"/>
      <c r="HO10" s="100"/>
      <c r="HP10" s="100"/>
      <c r="HQ10" s="100"/>
      <c r="HR10" s="100"/>
      <c r="HS10" s="100"/>
      <c r="HT10" s="100"/>
      <c r="HU10" s="100"/>
      <c r="HV10" s="100"/>
      <c r="HW10" s="100"/>
      <c r="HX10" s="100"/>
      <c r="HY10" s="100"/>
      <c r="HZ10" s="100"/>
      <c r="IA10" s="100"/>
      <c r="IB10" s="100"/>
      <c r="IC10" s="100"/>
      <c r="ID10" s="100"/>
      <c r="IE10" s="100"/>
      <c r="IF10" s="100"/>
      <c r="IG10" s="100"/>
      <c r="IH10" s="100"/>
      <c r="II10" s="100"/>
      <c r="IJ10" s="100"/>
      <c r="IK10" s="100"/>
      <c r="IL10" s="100"/>
      <c r="IM10" s="100"/>
      <c r="IN10" s="100"/>
      <c r="IO10" s="100"/>
      <c r="IP10" s="100"/>
      <c r="IQ10" s="100"/>
      <c r="IR10" s="100"/>
      <c r="IS10" s="100"/>
      <c r="IT10" s="100"/>
      <c r="IU10" s="100"/>
      <c r="IV10" s="100"/>
      <c r="IW10" s="100"/>
      <c r="IX10" s="100"/>
      <c r="IY10" s="100"/>
      <c r="IZ10" s="100"/>
      <c r="JA10" s="100"/>
      <c r="JB10" s="100"/>
      <c r="JC10" s="100"/>
      <c r="JD10" s="100"/>
      <c r="JE10" s="100"/>
      <c r="JF10" s="100"/>
      <c r="JG10" s="100"/>
      <c r="JH10" s="100"/>
      <c r="JI10" s="100"/>
      <c r="JJ10" s="100"/>
      <c r="JK10" s="100"/>
      <c r="JL10" s="100"/>
      <c r="JM10" s="100"/>
      <c r="JN10" s="100"/>
      <c r="JO10" s="100"/>
      <c r="JP10" s="100"/>
      <c r="JQ10" s="100"/>
      <c r="JR10" s="100"/>
      <c r="JS10" s="100"/>
      <c r="JT10" s="100"/>
      <c r="JU10" s="100"/>
      <c r="JV10" s="100"/>
      <c r="JW10" s="100"/>
      <c r="JX10" s="100"/>
      <c r="JY10" s="100"/>
      <c r="JZ10" s="100"/>
      <c r="KA10" s="100"/>
      <c r="KB10" s="100"/>
      <c r="KC10" s="100"/>
      <c r="KD10" s="100"/>
      <c r="KE10" s="100"/>
      <c r="KF10" s="100"/>
      <c r="KG10" s="100"/>
      <c r="KH10" s="100"/>
      <c r="KI10" s="100"/>
      <c r="KJ10" s="100"/>
      <c r="KK10" s="100"/>
      <c r="KL10" s="100"/>
      <c r="KM10" s="100"/>
      <c r="KN10" s="100"/>
      <c r="KO10" s="100"/>
      <c r="KP10" s="100"/>
      <c r="KQ10" s="100"/>
      <c r="KR10" s="100"/>
      <c r="KS10" s="100"/>
      <c r="KT10" s="100"/>
      <c r="KU10" s="100"/>
      <c r="KV10" s="100"/>
      <c r="KW10" s="100"/>
      <c r="KX10" s="100"/>
      <c r="KY10" s="100"/>
      <c r="KZ10" s="100"/>
      <c r="LA10" s="100"/>
      <c r="LB10" s="100"/>
      <c r="LC10" s="100"/>
      <c r="LD10" s="100"/>
      <c r="LE10" s="100"/>
      <c r="LF10" s="100"/>
      <c r="LG10" s="100"/>
      <c r="LH10" s="100"/>
      <c r="LI10" s="100"/>
      <c r="LJ10" s="100"/>
      <c r="LK10" s="100"/>
      <c r="LL10" s="100"/>
      <c r="LM10" s="100"/>
      <c r="LN10" s="100"/>
      <c r="LO10" s="100"/>
      <c r="LP10" s="100"/>
      <c r="LQ10" s="100"/>
      <c r="LR10" s="100"/>
      <c r="LS10" s="100"/>
      <c r="LT10" s="100"/>
      <c r="LU10" s="100"/>
      <c r="LV10" s="100"/>
      <c r="LW10" s="100"/>
      <c r="LX10" s="100"/>
      <c r="LY10" s="100"/>
      <c r="LZ10" s="100"/>
      <c r="MA10" s="100"/>
      <c r="MB10" s="100"/>
      <c r="MC10" s="100"/>
      <c r="MD10" s="100"/>
      <c r="ME10" s="100"/>
      <c r="MF10" s="100"/>
      <c r="MG10" s="100"/>
      <c r="MH10" s="100"/>
      <c r="MI10" s="100"/>
      <c r="MJ10" s="100"/>
      <c r="MK10" s="100"/>
      <c r="ML10" s="100"/>
      <c r="MM10" s="100"/>
      <c r="MN10" s="100"/>
      <c r="MO10" s="100"/>
      <c r="MP10" s="100"/>
      <c r="MQ10" s="100"/>
      <c r="MR10" s="100"/>
      <c r="MS10" s="100"/>
      <c r="MT10" s="100"/>
      <c r="MU10" s="100"/>
      <c r="MV10" s="100"/>
      <c r="MW10" s="100"/>
      <c r="MX10" s="100"/>
      <c r="MY10" s="100"/>
      <c r="MZ10" s="100"/>
      <c r="NA10" s="100"/>
      <c r="NB10" s="100"/>
      <c r="NC10" s="100"/>
      <c r="ND10" s="100"/>
      <c r="NE10" s="100"/>
      <c r="NF10" s="100"/>
      <c r="NG10" s="100"/>
      <c r="NH10" s="100"/>
      <c r="NI10" s="100"/>
      <c r="NJ10" s="100"/>
      <c r="NK10" s="100"/>
      <c r="NL10" s="100"/>
      <c r="NM10" s="100"/>
      <c r="NN10" s="100"/>
      <c r="NO10" s="100"/>
      <c r="NP10" s="100"/>
      <c r="NQ10" s="100"/>
      <c r="NR10" s="100"/>
      <c r="NS10" s="100"/>
      <c r="NT10" s="100"/>
      <c r="NU10" s="100"/>
      <c r="NV10" s="100"/>
      <c r="NW10" s="100"/>
      <c r="NX10" s="100"/>
      <c r="NY10" s="100"/>
      <c r="NZ10" s="100"/>
      <c r="OA10" s="100"/>
      <c r="OB10" s="100"/>
      <c r="OC10" s="100"/>
      <c r="OD10" s="100"/>
      <c r="OE10" s="100"/>
      <c r="OF10" s="100"/>
      <c r="OG10" s="100"/>
      <c r="OH10" s="100"/>
      <c r="OI10" s="100"/>
      <c r="OJ10" s="100"/>
      <c r="OK10" s="100"/>
      <c r="OL10" s="100"/>
      <c r="OM10" s="100"/>
      <c r="ON10" s="100"/>
      <c r="OO10" s="100"/>
      <c r="OP10" s="100"/>
      <c r="OQ10" s="100"/>
      <c r="OR10" s="100"/>
      <c r="OS10" s="100"/>
      <c r="OT10" s="100"/>
      <c r="OU10" s="100"/>
      <c r="OV10" s="100"/>
      <c r="OW10" s="100"/>
      <c r="OX10" s="100"/>
      <c r="OY10" s="100"/>
      <c r="OZ10" s="100"/>
      <c r="PA10" s="100"/>
      <c r="PB10" s="100"/>
      <c r="PC10" s="100"/>
      <c r="PD10" s="100"/>
      <c r="PE10" s="100"/>
      <c r="PF10" s="100"/>
      <c r="PG10" s="100"/>
      <c r="PH10" s="100"/>
      <c r="PI10" s="100"/>
      <c r="PJ10" s="100"/>
      <c r="PK10" s="100"/>
      <c r="PL10" s="100"/>
      <c r="PM10" s="100"/>
      <c r="PN10" s="100"/>
      <c r="PO10" s="100"/>
      <c r="PP10" s="100"/>
      <c r="PQ10" s="100"/>
      <c r="PR10" s="100"/>
      <c r="PS10" s="100"/>
      <c r="PT10" s="100"/>
      <c r="PU10" s="100"/>
      <c r="PV10" s="100"/>
      <c r="PW10" s="100"/>
      <c r="PX10" s="100"/>
      <c r="PY10" s="100"/>
      <c r="PZ10" s="100"/>
      <c r="QA10" s="100"/>
      <c r="QB10" s="100"/>
      <c r="QC10" s="100"/>
      <c r="QD10" s="100"/>
      <c r="QE10" s="100"/>
      <c r="QF10" s="100"/>
      <c r="QG10" s="100"/>
      <c r="QH10" s="100"/>
      <c r="QI10" s="100"/>
      <c r="QJ10" s="100"/>
      <c r="QK10" s="100"/>
      <c r="QL10" s="100"/>
      <c r="QM10" s="100"/>
      <c r="QN10" s="100"/>
      <c r="QO10" s="100"/>
      <c r="QP10" s="100"/>
      <c r="QQ10" s="100"/>
      <c r="QR10" s="100"/>
      <c r="QS10" s="100"/>
      <c r="QT10" s="100"/>
      <c r="QU10" s="100"/>
      <c r="QV10" s="100"/>
      <c r="QW10" s="100"/>
      <c r="QX10" s="100"/>
      <c r="QY10" s="100"/>
      <c r="QZ10" s="100"/>
      <c r="RA10" s="100"/>
      <c r="RB10" s="100"/>
      <c r="RC10" s="100"/>
      <c r="RD10" s="100"/>
      <c r="RE10" s="100"/>
      <c r="RF10" s="100"/>
      <c r="RG10" s="100"/>
      <c r="RH10" s="100"/>
      <c r="RI10" s="100"/>
      <c r="RJ10" s="100"/>
      <c r="RK10" s="100"/>
      <c r="RL10" s="100"/>
      <c r="RM10" s="100"/>
      <c r="RN10" s="100"/>
      <c r="RO10" s="100"/>
      <c r="RP10" s="100"/>
      <c r="RQ10" s="100"/>
      <c r="RR10" s="100"/>
      <c r="RS10" s="100"/>
      <c r="RT10" s="100"/>
      <c r="RU10" s="100"/>
      <c r="RV10" s="100"/>
      <c r="RW10" s="100"/>
      <c r="RX10" s="100"/>
      <c r="RY10" s="100"/>
      <c r="RZ10" s="100"/>
      <c r="SA10" s="100"/>
      <c r="SB10" s="100"/>
      <c r="SC10" s="100"/>
    </row>
    <row r="11" spans="1:497" ht="27" customHeight="1" x14ac:dyDescent="0.15">
      <c r="A11" s="127" t="s">
        <v>95</v>
      </c>
      <c r="B11" s="128"/>
      <c r="C11" s="7"/>
      <c r="D11" s="7"/>
      <c r="E11" s="8"/>
      <c r="F11" s="86"/>
      <c r="G11" s="87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  <c r="IW11" s="9"/>
      <c r="IX11" s="9"/>
      <c r="IY11" s="9"/>
      <c r="IZ11" s="9"/>
      <c r="JA11" s="9"/>
      <c r="JB11" s="9"/>
      <c r="JC11" s="9"/>
      <c r="JD11" s="9"/>
      <c r="JE11" s="9"/>
      <c r="JF11" s="9"/>
      <c r="JG11" s="9"/>
      <c r="JH11" s="9"/>
      <c r="JI11" s="9"/>
      <c r="JJ11" s="9"/>
      <c r="JK11" s="9"/>
      <c r="JL11" s="9"/>
      <c r="JM11" s="9"/>
      <c r="JN11" s="9"/>
      <c r="JO11" s="9"/>
      <c r="JP11" s="9"/>
      <c r="JQ11" s="9"/>
      <c r="JR11" s="9"/>
      <c r="JS11" s="9"/>
      <c r="JT11" s="9"/>
      <c r="JU11" s="9"/>
      <c r="JV11" s="9"/>
      <c r="JW11" s="9"/>
      <c r="JX11" s="9"/>
      <c r="JY11" s="9"/>
      <c r="JZ11" s="9"/>
      <c r="KA11" s="9"/>
      <c r="KB11" s="9"/>
      <c r="KC11" s="9"/>
      <c r="KD11" s="9"/>
      <c r="KE11" s="9"/>
      <c r="KF11" s="9"/>
      <c r="KG11" s="9"/>
      <c r="KH11" s="9"/>
      <c r="KI11" s="9"/>
      <c r="KJ11" s="9"/>
      <c r="KK11" s="9"/>
      <c r="KL11" s="9"/>
      <c r="KM11" s="9"/>
      <c r="KN11" s="9"/>
      <c r="KO11" s="9"/>
      <c r="KP11" s="9"/>
      <c r="KQ11" s="9"/>
      <c r="KR11" s="9"/>
      <c r="KS11" s="9"/>
      <c r="KT11" s="9"/>
      <c r="KU11" s="9"/>
      <c r="KV11" s="9"/>
      <c r="KW11" s="9"/>
      <c r="KX11" s="9"/>
      <c r="KY11" s="9"/>
      <c r="KZ11" s="9"/>
      <c r="LA11" s="9"/>
      <c r="LB11" s="9"/>
      <c r="LC11" s="9"/>
      <c r="LD11" s="9"/>
      <c r="LE11" s="9"/>
      <c r="LF11" s="9"/>
      <c r="LG11" s="9"/>
      <c r="LH11" s="9"/>
      <c r="LI11" s="9"/>
      <c r="LJ11" s="9"/>
      <c r="LK11" s="9"/>
      <c r="LL11" s="9"/>
      <c r="LM11" s="9"/>
      <c r="LN11" s="9"/>
      <c r="LO11" s="9"/>
      <c r="LP11" s="9"/>
      <c r="LQ11" s="9"/>
      <c r="LR11" s="9"/>
      <c r="LS11" s="9"/>
      <c r="LT11" s="9"/>
      <c r="LU11" s="9"/>
      <c r="LV11" s="9"/>
      <c r="LW11" s="9"/>
      <c r="LX11" s="9"/>
      <c r="LY11" s="9"/>
      <c r="LZ11" s="9"/>
      <c r="MA11" s="9"/>
      <c r="MB11" s="9"/>
      <c r="MC11" s="9"/>
      <c r="MD11" s="9"/>
      <c r="ME11" s="9"/>
      <c r="MF11" s="9"/>
      <c r="MG11" s="9"/>
      <c r="MH11" s="9"/>
      <c r="MI11" s="9"/>
      <c r="MJ11" s="9"/>
      <c r="MK11" s="9"/>
      <c r="ML11" s="9"/>
      <c r="MM11" s="9"/>
      <c r="MN11" s="9"/>
      <c r="MO11" s="9"/>
      <c r="MP11" s="9"/>
      <c r="MQ11" s="9"/>
      <c r="MR11" s="9"/>
      <c r="MS11" s="9"/>
      <c r="MT11" s="9"/>
      <c r="MU11" s="9"/>
      <c r="MV11" s="9"/>
      <c r="MW11" s="9"/>
      <c r="MX11" s="9"/>
      <c r="MY11" s="9"/>
      <c r="MZ11" s="9"/>
      <c r="NA11" s="9"/>
      <c r="NB11" s="9"/>
      <c r="NC11" s="9"/>
      <c r="ND11" s="9"/>
      <c r="NE11" s="9"/>
      <c r="NF11" s="9"/>
      <c r="NG11" s="9"/>
      <c r="NH11" s="9"/>
      <c r="NI11" s="9"/>
      <c r="NJ11" s="9"/>
      <c r="NK11" s="9"/>
      <c r="NL11" s="9"/>
      <c r="NM11" s="9"/>
      <c r="NN11" s="9"/>
      <c r="NO11" s="9"/>
      <c r="NP11" s="9"/>
      <c r="NQ11" s="9"/>
      <c r="NR11" s="9"/>
      <c r="NS11" s="9"/>
      <c r="NT11" s="9"/>
      <c r="NU11" s="9"/>
      <c r="NV11" s="9"/>
      <c r="NW11" s="9"/>
      <c r="NX11" s="9"/>
      <c r="NY11" s="9"/>
      <c r="NZ11" s="9"/>
      <c r="OA11" s="9"/>
      <c r="OB11" s="9"/>
      <c r="OC11" s="9"/>
      <c r="OD11" s="9"/>
      <c r="OE11" s="9"/>
      <c r="OF11" s="9"/>
      <c r="OG11" s="9"/>
      <c r="OH11" s="9"/>
      <c r="OI11" s="9"/>
      <c r="OJ11" s="9"/>
      <c r="OK11" s="9"/>
      <c r="OL11" s="9"/>
      <c r="OM11" s="9"/>
      <c r="ON11" s="9"/>
      <c r="OO11" s="9"/>
      <c r="OP11" s="9"/>
      <c r="OQ11" s="9"/>
      <c r="OR11" s="9"/>
      <c r="OS11" s="9"/>
      <c r="OT11" s="9"/>
      <c r="OU11" s="9"/>
      <c r="OV11" s="9"/>
      <c r="OW11" s="9"/>
      <c r="OX11" s="9"/>
      <c r="OY11" s="9"/>
      <c r="OZ11" s="9"/>
      <c r="PA11" s="9"/>
      <c r="PB11" s="9"/>
      <c r="PC11" s="9"/>
      <c r="PD11" s="9"/>
      <c r="PE11" s="9"/>
      <c r="PF11" s="9"/>
      <c r="PG11" s="9"/>
      <c r="PH11" s="9"/>
      <c r="PI11" s="9"/>
      <c r="PJ11" s="9"/>
      <c r="PK11" s="9"/>
      <c r="PL11" s="9"/>
      <c r="PM11" s="9"/>
      <c r="PN11" s="9"/>
      <c r="PO11" s="9"/>
      <c r="PP11" s="9"/>
      <c r="PQ11" s="9"/>
      <c r="PR11" s="9"/>
      <c r="PS11" s="9"/>
      <c r="PT11" s="9"/>
      <c r="PU11" s="9"/>
      <c r="PV11" s="9"/>
      <c r="PW11" s="9"/>
      <c r="PX11" s="9"/>
      <c r="PY11" s="9"/>
      <c r="PZ11" s="9"/>
      <c r="QA11" s="9"/>
      <c r="QB11" s="9"/>
      <c r="QC11" s="9"/>
      <c r="QD11" s="9"/>
      <c r="QE11" s="9"/>
      <c r="QF11" s="9"/>
      <c r="QG11" s="9"/>
      <c r="QH11" s="9"/>
      <c r="QI11" s="9"/>
      <c r="QJ11" s="9"/>
      <c r="QK11" s="9"/>
      <c r="QL11" s="9"/>
      <c r="QM11" s="9"/>
      <c r="QN11" s="9"/>
      <c r="QO11" s="9"/>
      <c r="QP11" s="9"/>
      <c r="QQ11" s="9"/>
      <c r="QR11" s="9"/>
      <c r="QS11" s="9"/>
      <c r="QT11" s="9"/>
      <c r="QU11" s="9"/>
      <c r="QV11" s="9"/>
      <c r="QW11" s="9"/>
      <c r="QX11" s="9"/>
      <c r="QY11" s="9"/>
      <c r="QZ11" s="9"/>
      <c r="RA11" s="9"/>
      <c r="RB11" s="9"/>
      <c r="RC11" s="9"/>
      <c r="RD11" s="9"/>
      <c r="RE11" s="9"/>
      <c r="RF11" s="9"/>
      <c r="RG11" s="9"/>
      <c r="RH11" s="9"/>
      <c r="RI11" s="9"/>
      <c r="RJ11" s="9"/>
      <c r="RK11" s="9"/>
      <c r="RL11" s="9"/>
      <c r="RM11" s="9"/>
      <c r="RN11" s="9"/>
      <c r="RO11" s="9"/>
      <c r="RP11" s="9"/>
      <c r="RQ11" s="9"/>
      <c r="RR11" s="9"/>
      <c r="RS11" s="9"/>
      <c r="RT11" s="9"/>
      <c r="RU11" s="9"/>
      <c r="RV11" s="9"/>
      <c r="RW11" s="9"/>
      <c r="RX11" s="9"/>
      <c r="RY11" s="9"/>
      <c r="RZ11" s="9"/>
      <c r="SA11" s="9"/>
      <c r="SB11" s="9"/>
      <c r="SC11" s="9"/>
    </row>
    <row r="12" spans="1:497" ht="27" customHeight="1" x14ac:dyDescent="0.15">
      <c r="A12" s="10">
        <v>1.1000000000000001</v>
      </c>
      <c r="B12" s="11" t="s">
        <v>96</v>
      </c>
      <c r="C12" s="12"/>
      <c r="D12" s="12"/>
      <c r="E12" s="13"/>
      <c r="F12" s="88"/>
      <c r="G12" s="88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  <c r="IS12" s="14"/>
      <c r="IT12" s="14"/>
      <c r="IU12" s="14"/>
      <c r="IV12" s="14"/>
      <c r="IW12" s="14"/>
      <c r="IX12" s="14"/>
      <c r="IY12" s="14"/>
      <c r="IZ12" s="14"/>
      <c r="JA12" s="14"/>
      <c r="JB12" s="14"/>
      <c r="JC12" s="14"/>
      <c r="JD12" s="14"/>
      <c r="JE12" s="14"/>
      <c r="JF12" s="14"/>
      <c r="JG12" s="14"/>
      <c r="JH12" s="14"/>
      <c r="JI12" s="14"/>
      <c r="JJ12" s="14"/>
      <c r="JK12" s="14"/>
      <c r="JL12" s="14"/>
      <c r="JM12" s="14"/>
      <c r="JN12" s="14"/>
      <c r="JO12" s="14"/>
      <c r="JP12" s="14"/>
      <c r="JQ12" s="14"/>
      <c r="JR12" s="14"/>
      <c r="JS12" s="14"/>
      <c r="JT12" s="14"/>
      <c r="JU12" s="14"/>
      <c r="JV12" s="14"/>
      <c r="JW12" s="14"/>
      <c r="JX12" s="14"/>
      <c r="JY12" s="14"/>
      <c r="JZ12" s="14"/>
      <c r="KA12" s="14"/>
      <c r="KB12" s="14"/>
      <c r="KC12" s="14"/>
      <c r="KD12" s="14"/>
      <c r="KE12" s="14"/>
      <c r="KF12" s="14"/>
      <c r="KG12" s="14"/>
      <c r="KH12" s="14"/>
      <c r="KI12" s="14"/>
      <c r="KJ12" s="14"/>
      <c r="KK12" s="14"/>
      <c r="KL12" s="14"/>
      <c r="KM12" s="14"/>
      <c r="KN12" s="14"/>
      <c r="KO12" s="14"/>
      <c r="KP12" s="14"/>
      <c r="KQ12" s="14"/>
      <c r="KR12" s="14"/>
      <c r="KS12" s="14"/>
      <c r="KT12" s="14"/>
      <c r="KU12" s="14"/>
      <c r="KV12" s="14"/>
      <c r="KW12" s="14"/>
      <c r="KX12" s="14"/>
      <c r="KY12" s="14"/>
      <c r="KZ12" s="14"/>
      <c r="LA12" s="14"/>
      <c r="LB12" s="14"/>
      <c r="LC12" s="14"/>
      <c r="LD12" s="14"/>
      <c r="LE12" s="14"/>
      <c r="LF12" s="14"/>
      <c r="LG12" s="14"/>
      <c r="LH12" s="14"/>
      <c r="LI12" s="14"/>
      <c r="LJ12" s="14"/>
      <c r="LK12" s="14"/>
      <c r="LL12" s="14"/>
      <c r="LM12" s="14"/>
      <c r="LN12" s="14"/>
      <c r="LO12" s="14"/>
      <c r="LP12" s="14"/>
      <c r="LQ12" s="14"/>
      <c r="LR12" s="14"/>
      <c r="LS12" s="14"/>
      <c r="LT12" s="14"/>
      <c r="LU12" s="14"/>
      <c r="LV12" s="14"/>
      <c r="LW12" s="14"/>
      <c r="LX12" s="14"/>
      <c r="LY12" s="14"/>
      <c r="LZ12" s="14"/>
      <c r="MA12" s="14"/>
      <c r="MB12" s="14"/>
      <c r="MC12" s="14"/>
      <c r="MD12" s="14"/>
      <c r="ME12" s="14"/>
      <c r="MF12" s="14"/>
      <c r="MG12" s="14"/>
      <c r="MH12" s="14"/>
      <c r="MI12" s="14"/>
      <c r="MJ12" s="14"/>
      <c r="MK12" s="14"/>
      <c r="ML12" s="14"/>
      <c r="MM12" s="14"/>
      <c r="MN12" s="14"/>
      <c r="MO12" s="14"/>
      <c r="MP12" s="14"/>
      <c r="MQ12" s="14"/>
      <c r="MR12" s="14"/>
      <c r="MS12" s="14"/>
      <c r="MT12" s="14"/>
      <c r="MU12" s="14"/>
      <c r="MV12" s="14"/>
      <c r="MW12" s="14"/>
      <c r="MX12" s="14"/>
      <c r="MY12" s="14"/>
      <c r="MZ12" s="14"/>
      <c r="NA12" s="14"/>
      <c r="NB12" s="14"/>
      <c r="NC12" s="14"/>
      <c r="ND12" s="14"/>
      <c r="NE12" s="14"/>
      <c r="NF12" s="14"/>
      <c r="NG12" s="14"/>
      <c r="NH12" s="14"/>
      <c r="NI12" s="14"/>
      <c r="NJ12" s="14"/>
      <c r="NK12" s="14"/>
      <c r="NL12" s="14"/>
      <c r="NM12" s="14"/>
      <c r="NN12" s="14"/>
      <c r="NO12" s="14"/>
      <c r="NP12" s="14"/>
      <c r="NQ12" s="14"/>
      <c r="NR12" s="14"/>
      <c r="NS12" s="14"/>
      <c r="NT12" s="14"/>
      <c r="NU12" s="14"/>
      <c r="NV12" s="14"/>
      <c r="NW12" s="14"/>
      <c r="NX12" s="14"/>
      <c r="NY12" s="14"/>
      <c r="NZ12" s="14"/>
      <c r="OA12" s="14"/>
      <c r="OB12" s="14"/>
      <c r="OC12" s="14"/>
      <c r="OD12" s="14"/>
      <c r="OE12" s="14"/>
      <c r="OF12" s="14"/>
      <c r="OG12" s="14"/>
      <c r="OH12" s="14"/>
      <c r="OI12" s="14"/>
      <c r="OJ12" s="14"/>
      <c r="OK12" s="14"/>
      <c r="OL12" s="14"/>
      <c r="OM12" s="14"/>
      <c r="ON12" s="14"/>
      <c r="OO12" s="14"/>
      <c r="OP12" s="14"/>
      <c r="OQ12" s="14"/>
      <c r="OR12" s="14"/>
      <c r="OS12" s="14"/>
      <c r="OT12" s="14"/>
      <c r="OU12" s="14"/>
      <c r="OV12" s="14"/>
      <c r="OW12" s="14"/>
      <c r="OX12" s="14"/>
      <c r="OY12" s="14"/>
      <c r="OZ12" s="14"/>
      <c r="PA12" s="14"/>
      <c r="PB12" s="14"/>
      <c r="PC12" s="14"/>
      <c r="PD12" s="14"/>
      <c r="PE12" s="14"/>
      <c r="PF12" s="14"/>
      <c r="PG12" s="14"/>
      <c r="PH12" s="14"/>
      <c r="PI12" s="14"/>
      <c r="PJ12" s="14"/>
      <c r="PK12" s="14"/>
      <c r="PL12" s="14"/>
      <c r="PM12" s="14"/>
      <c r="PN12" s="14"/>
      <c r="PO12" s="14"/>
      <c r="PP12" s="14"/>
      <c r="PQ12" s="14"/>
      <c r="PR12" s="14"/>
      <c r="PS12" s="14"/>
      <c r="PT12" s="14"/>
      <c r="PU12" s="14"/>
      <c r="PV12" s="14"/>
      <c r="PW12" s="14"/>
      <c r="PX12" s="14"/>
      <c r="PY12" s="14"/>
      <c r="PZ12" s="14"/>
      <c r="QA12" s="14"/>
      <c r="QB12" s="14"/>
      <c r="QC12" s="14"/>
      <c r="QD12" s="14"/>
      <c r="QE12" s="14"/>
      <c r="QF12" s="14"/>
      <c r="QG12" s="14"/>
      <c r="QH12" s="14"/>
      <c r="QI12" s="14"/>
      <c r="QJ12" s="14"/>
      <c r="QK12" s="14"/>
      <c r="QL12" s="14"/>
      <c r="QM12" s="14"/>
      <c r="QN12" s="14"/>
      <c r="QO12" s="14"/>
      <c r="QP12" s="14"/>
      <c r="QQ12" s="14"/>
      <c r="QR12" s="14"/>
      <c r="QS12" s="14"/>
      <c r="QT12" s="14"/>
      <c r="QU12" s="14"/>
      <c r="QV12" s="14"/>
      <c r="QW12" s="14"/>
      <c r="QX12" s="14"/>
      <c r="QY12" s="14"/>
      <c r="QZ12" s="14"/>
      <c r="RA12" s="14"/>
      <c r="RB12" s="14"/>
      <c r="RC12" s="14"/>
      <c r="RD12" s="14"/>
      <c r="RE12" s="14"/>
      <c r="RF12" s="14"/>
      <c r="RG12" s="14"/>
      <c r="RH12" s="14"/>
      <c r="RI12" s="14"/>
      <c r="RJ12" s="14"/>
      <c r="RK12" s="14"/>
      <c r="RL12" s="14"/>
      <c r="RM12" s="14"/>
      <c r="RN12" s="14"/>
      <c r="RO12" s="14"/>
      <c r="RP12" s="14"/>
      <c r="RQ12" s="14"/>
      <c r="RR12" s="14"/>
      <c r="RS12" s="14"/>
      <c r="RT12" s="14"/>
      <c r="RU12" s="14"/>
      <c r="RV12" s="14"/>
      <c r="RW12" s="14"/>
      <c r="RX12" s="14"/>
      <c r="RY12" s="14"/>
      <c r="RZ12" s="14"/>
      <c r="SA12" s="14"/>
      <c r="SB12" s="14"/>
      <c r="SC12" s="14"/>
    </row>
    <row r="13" spans="1:497" ht="27" customHeight="1" x14ac:dyDescent="0.15">
      <c r="A13" s="10">
        <v>1.2</v>
      </c>
      <c r="B13" s="11" t="s">
        <v>97</v>
      </c>
      <c r="C13" s="12"/>
      <c r="D13" s="12"/>
      <c r="E13" s="13"/>
      <c r="F13" s="88"/>
      <c r="G13" s="88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  <c r="IM13" s="14"/>
      <c r="IN13" s="14"/>
      <c r="IO13" s="14"/>
      <c r="IP13" s="14"/>
      <c r="IQ13" s="14"/>
      <c r="IR13" s="14"/>
      <c r="IS13" s="14"/>
      <c r="IT13" s="14"/>
      <c r="IU13" s="14"/>
      <c r="IV13" s="14"/>
      <c r="IW13" s="14"/>
      <c r="IX13" s="14"/>
      <c r="IY13" s="14"/>
      <c r="IZ13" s="14"/>
      <c r="JA13" s="14"/>
      <c r="JB13" s="14"/>
      <c r="JC13" s="14"/>
      <c r="JD13" s="14"/>
      <c r="JE13" s="14"/>
      <c r="JF13" s="14"/>
      <c r="JG13" s="14"/>
      <c r="JH13" s="14"/>
      <c r="JI13" s="14"/>
      <c r="JJ13" s="14"/>
      <c r="JK13" s="14"/>
      <c r="JL13" s="14"/>
      <c r="JM13" s="14"/>
      <c r="JN13" s="14"/>
      <c r="JO13" s="14"/>
      <c r="JP13" s="14"/>
      <c r="JQ13" s="14"/>
      <c r="JR13" s="14"/>
      <c r="JS13" s="14"/>
      <c r="JT13" s="14"/>
      <c r="JU13" s="14"/>
      <c r="JV13" s="14"/>
      <c r="JW13" s="14"/>
      <c r="JX13" s="14"/>
      <c r="JY13" s="14"/>
      <c r="JZ13" s="14"/>
      <c r="KA13" s="14"/>
      <c r="KB13" s="14"/>
      <c r="KC13" s="14"/>
      <c r="KD13" s="14"/>
      <c r="KE13" s="14"/>
      <c r="KF13" s="14"/>
      <c r="KG13" s="14"/>
      <c r="KH13" s="14"/>
      <c r="KI13" s="14"/>
      <c r="KJ13" s="14"/>
      <c r="KK13" s="14"/>
      <c r="KL13" s="14"/>
      <c r="KM13" s="14"/>
      <c r="KN13" s="14"/>
      <c r="KO13" s="14"/>
      <c r="KP13" s="14"/>
      <c r="KQ13" s="14"/>
      <c r="KR13" s="14"/>
      <c r="KS13" s="14"/>
      <c r="KT13" s="14"/>
      <c r="KU13" s="14"/>
      <c r="KV13" s="14"/>
      <c r="KW13" s="14"/>
      <c r="KX13" s="14"/>
      <c r="KY13" s="14"/>
      <c r="KZ13" s="14"/>
      <c r="LA13" s="14"/>
      <c r="LB13" s="14"/>
      <c r="LC13" s="14"/>
      <c r="LD13" s="14"/>
      <c r="LE13" s="14"/>
      <c r="LF13" s="14"/>
      <c r="LG13" s="14"/>
      <c r="LH13" s="14"/>
      <c r="LI13" s="14"/>
      <c r="LJ13" s="14"/>
      <c r="LK13" s="14"/>
      <c r="LL13" s="14"/>
      <c r="LM13" s="14"/>
      <c r="LN13" s="14"/>
      <c r="LO13" s="14"/>
      <c r="LP13" s="14"/>
      <c r="LQ13" s="14"/>
      <c r="LR13" s="14"/>
      <c r="LS13" s="14"/>
      <c r="LT13" s="14"/>
      <c r="LU13" s="14"/>
      <c r="LV13" s="14"/>
      <c r="LW13" s="14"/>
      <c r="LX13" s="14"/>
      <c r="LY13" s="14"/>
      <c r="LZ13" s="14"/>
      <c r="MA13" s="14"/>
      <c r="MB13" s="14"/>
      <c r="MC13" s="14"/>
      <c r="MD13" s="14"/>
      <c r="ME13" s="14"/>
      <c r="MF13" s="14"/>
      <c r="MG13" s="14"/>
      <c r="MH13" s="14"/>
      <c r="MI13" s="14"/>
      <c r="MJ13" s="14"/>
      <c r="MK13" s="14"/>
      <c r="ML13" s="14"/>
      <c r="MM13" s="14"/>
      <c r="MN13" s="14"/>
      <c r="MO13" s="14"/>
      <c r="MP13" s="14"/>
      <c r="MQ13" s="14"/>
      <c r="MR13" s="14"/>
      <c r="MS13" s="14"/>
      <c r="MT13" s="14"/>
      <c r="MU13" s="14"/>
      <c r="MV13" s="14"/>
      <c r="MW13" s="14"/>
      <c r="MX13" s="14"/>
      <c r="MY13" s="14"/>
      <c r="MZ13" s="14"/>
      <c r="NA13" s="14"/>
      <c r="NB13" s="14"/>
      <c r="NC13" s="14"/>
      <c r="ND13" s="14"/>
      <c r="NE13" s="14"/>
      <c r="NF13" s="14"/>
      <c r="NG13" s="14"/>
      <c r="NH13" s="14"/>
      <c r="NI13" s="14"/>
      <c r="NJ13" s="14"/>
      <c r="NK13" s="14"/>
      <c r="NL13" s="14"/>
      <c r="NM13" s="14"/>
      <c r="NN13" s="14"/>
      <c r="NO13" s="14"/>
      <c r="NP13" s="14"/>
      <c r="NQ13" s="14"/>
      <c r="NR13" s="14"/>
      <c r="NS13" s="14"/>
      <c r="NT13" s="14"/>
      <c r="NU13" s="14"/>
      <c r="NV13" s="14"/>
      <c r="NW13" s="14"/>
      <c r="NX13" s="14"/>
      <c r="NY13" s="14"/>
      <c r="NZ13" s="14"/>
      <c r="OA13" s="14"/>
      <c r="OB13" s="14"/>
      <c r="OC13" s="14"/>
      <c r="OD13" s="14"/>
      <c r="OE13" s="14"/>
      <c r="OF13" s="14"/>
      <c r="OG13" s="14"/>
      <c r="OH13" s="14"/>
      <c r="OI13" s="14"/>
      <c r="OJ13" s="14"/>
      <c r="OK13" s="14"/>
      <c r="OL13" s="14"/>
      <c r="OM13" s="14"/>
      <c r="ON13" s="14"/>
      <c r="OO13" s="14"/>
      <c r="OP13" s="14"/>
      <c r="OQ13" s="14"/>
      <c r="OR13" s="14"/>
      <c r="OS13" s="14"/>
      <c r="OT13" s="14"/>
      <c r="OU13" s="14"/>
      <c r="OV13" s="14"/>
      <c r="OW13" s="14"/>
      <c r="OX13" s="14"/>
      <c r="OY13" s="14"/>
      <c r="OZ13" s="14"/>
      <c r="PA13" s="14"/>
      <c r="PB13" s="14"/>
      <c r="PC13" s="14"/>
      <c r="PD13" s="14"/>
      <c r="PE13" s="14"/>
      <c r="PF13" s="14"/>
      <c r="PG13" s="14"/>
      <c r="PH13" s="14"/>
      <c r="PI13" s="14"/>
      <c r="PJ13" s="14"/>
      <c r="PK13" s="14"/>
      <c r="PL13" s="14"/>
      <c r="PM13" s="14"/>
      <c r="PN13" s="14"/>
      <c r="PO13" s="14"/>
      <c r="PP13" s="14"/>
      <c r="PQ13" s="14"/>
      <c r="PR13" s="14"/>
      <c r="PS13" s="14"/>
      <c r="PT13" s="14"/>
      <c r="PU13" s="14"/>
      <c r="PV13" s="14"/>
      <c r="PW13" s="14"/>
      <c r="PX13" s="14"/>
      <c r="PY13" s="14"/>
      <c r="PZ13" s="14"/>
      <c r="QA13" s="14"/>
      <c r="QB13" s="14"/>
      <c r="QC13" s="14"/>
      <c r="QD13" s="14"/>
      <c r="QE13" s="14"/>
      <c r="QF13" s="14"/>
      <c r="QG13" s="14"/>
      <c r="QH13" s="14"/>
      <c r="QI13" s="14"/>
      <c r="QJ13" s="14"/>
      <c r="QK13" s="14"/>
      <c r="QL13" s="14"/>
      <c r="QM13" s="14"/>
      <c r="QN13" s="14"/>
      <c r="QO13" s="14"/>
      <c r="QP13" s="14"/>
      <c r="QQ13" s="14"/>
      <c r="QR13" s="14"/>
      <c r="QS13" s="14"/>
      <c r="QT13" s="14"/>
      <c r="QU13" s="14"/>
      <c r="QV13" s="14"/>
      <c r="QW13" s="14"/>
      <c r="QX13" s="14"/>
      <c r="QY13" s="14"/>
      <c r="QZ13" s="14"/>
      <c r="RA13" s="14"/>
      <c r="RB13" s="14"/>
      <c r="RC13" s="14"/>
      <c r="RD13" s="14"/>
      <c r="RE13" s="14"/>
      <c r="RF13" s="14"/>
      <c r="RG13" s="14"/>
      <c r="RH13" s="14"/>
      <c r="RI13" s="14"/>
      <c r="RJ13" s="14"/>
      <c r="RK13" s="14"/>
      <c r="RL13" s="14"/>
      <c r="RM13" s="14"/>
      <c r="RN13" s="14"/>
      <c r="RO13" s="14"/>
      <c r="RP13" s="14"/>
      <c r="RQ13" s="14"/>
      <c r="RR13" s="14"/>
      <c r="RS13" s="14"/>
      <c r="RT13" s="14"/>
      <c r="RU13" s="14"/>
      <c r="RV13" s="14"/>
      <c r="RW13" s="14"/>
      <c r="RX13" s="14"/>
      <c r="RY13" s="14"/>
      <c r="RZ13" s="14"/>
      <c r="SA13" s="14"/>
      <c r="SB13" s="14"/>
      <c r="SC13" s="14"/>
    </row>
    <row r="14" spans="1:497" ht="27" customHeight="1" x14ac:dyDescent="0.15">
      <c r="A14" s="10">
        <v>1.3</v>
      </c>
      <c r="B14" s="11" t="s">
        <v>98</v>
      </c>
      <c r="C14" s="12"/>
      <c r="D14" s="12"/>
      <c r="E14" s="13"/>
      <c r="F14" s="88"/>
      <c r="G14" s="89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  <c r="IS14" s="14"/>
      <c r="IT14" s="14"/>
      <c r="IU14" s="14"/>
      <c r="IV14" s="14"/>
      <c r="IW14" s="14"/>
      <c r="IX14" s="14"/>
      <c r="IY14" s="14"/>
      <c r="IZ14" s="14"/>
      <c r="JA14" s="14"/>
      <c r="JB14" s="14"/>
      <c r="JC14" s="14"/>
      <c r="JD14" s="14"/>
      <c r="JE14" s="14"/>
      <c r="JF14" s="14"/>
      <c r="JG14" s="14"/>
      <c r="JH14" s="14"/>
      <c r="JI14" s="14"/>
      <c r="JJ14" s="14"/>
      <c r="JK14" s="14"/>
      <c r="JL14" s="14"/>
      <c r="JM14" s="14"/>
      <c r="JN14" s="14"/>
      <c r="JO14" s="14"/>
      <c r="JP14" s="14"/>
      <c r="JQ14" s="14"/>
      <c r="JR14" s="14"/>
      <c r="JS14" s="14"/>
      <c r="JT14" s="14"/>
      <c r="JU14" s="14"/>
      <c r="JV14" s="14"/>
      <c r="JW14" s="14"/>
      <c r="JX14" s="14"/>
      <c r="JY14" s="14"/>
      <c r="JZ14" s="14"/>
      <c r="KA14" s="14"/>
      <c r="KB14" s="14"/>
      <c r="KC14" s="14"/>
      <c r="KD14" s="14"/>
      <c r="KE14" s="14"/>
      <c r="KF14" s="14"/>
      <c r="KG14" s="14"/>
      <c r="KH14" s="14"/>
      <c r="KI14" s="14"/>
      <c r="KJ14" s="14"/>
      <c r="KK14" s="14"/>
      <c r="KL14" s="14"/>
      <c r="KM14" s="14"/>
      <c r="KN14" s="14"/>
      <c r="KO14" s="14"/>
      <c r="KP14" s="14"/>
      <c r="KQ14" s="14"/>
      <c r="KR14" s="14"/>
      <c r="KS14" s="14"/>
      <c r="KT14" s="14"/>
      <c r="KU14" s="14"/>
      <c r="KV14" s="14"/>
      <c r="KW14" s="14"/>
      <c r="KX14" s="14"/>
      <c r="KY14" s="14"/>
      <c r="KZ14" s="14"/>
      <c r="LA14" s="14"/>
      <c r="LB14" s="14"/>
      <c r="LC14" s="14"/>
      <c r="LD14" s="14"/>
      <c r="LE14" s="14"/>
      <c r="LF14" s="14"/>
      <c r="LG14" s="14"/>
      <c r="LH14" s="14"/>
      <c r="LI14" s="14"/>
      <c r="LJ14" s="14"/>
      <c r="LK14" s="14"/>
      <c r="LL14" s="14"/>
      <c r="LM14" s="14"/>
      <c r="LN14" s="14"/>
      <c r="LO14" s="14"/>
      <c r="LP14" s="14"/>
      <c r="LQ14" s="14"/>
      <c r="LR14" s="14"/>
      <c r="LS14" s="14"/>
      <c r="LT14" s="14"/>
      <c r="LU14" s="14"/>
      <c r="LV14" s="14"/>
      <c r="LW14" s="14"/>
      <c r="LX14" s="14"/>
      <c r="LY14" s="14"/>
      <c r="LZ14" s="14"/>
      <c r="MA14" s="14"/>
      <c r="MB14" s="14"/>
      <c r="MC14" s="14"/>
      <c r="MD14" s="14"/>
      <c r="ME14" s="14"/>
      <c r="MF14" s="14"/>
      <c r="MG14" s="14"/>
      <c r="MH14" s="14"/>
      <c r="MI14" s="14"/>
      <c r="MJ14" s="14"/>
      <c r="MK14" s="14"/>
      <c r="ML14" s="14"/>
      <c r="MM14" s="14"/>
      <c r="MN14" s="14"/>
      <c r="MO14" s="14"/>
      <c r="MP14" s="14"/>
      <c r="MQ14" s="14"/>
      <c r="MR14" s="14"/>
      <c r="MS14" s="14"/>
      <c r="MT14" s="14"/>
      <c r="MU14" s="14"/>
      <c r="MV14" s="14"/>
      <c r="MW14" s="14"/>
      <c r="MX14" s="14"/>
      <c r="MY14" s="14"/>
      <c r="MZ14" s="14"/>
      <c r="NA14" s="14"/>
      <c r="NB14" s="14"/>
      <c r="NC14" s="14"/>
      <c r="ND14" s="14"/>
      <c r="NE14" s="14"/>
      <c r="NF14" s="14"/>
      <c r="NG14" s="14"/>
      <c r="NH14" s="14"/>
      <c r="NI14" s="14"/>
      <c r="NJ14" s="14"/>
      <c r="NK14" s="14"/>
      <c r="NL14" s="14"/>
      <c r="NM14" s="14"/>
      <c r="NN14" s="14"/>
      <c r="NO14" s="14"/>
      <c r="NP14" s="14"/>
      <c r="NQ14" s="14"/>
      <c r="NR14" s="14"/>
      <c r="NS14" s="14"/>
      <c r="NT14" s="14"/>
      <c r="NU14" s="14"/>
      <c r="NV14" s="14"/>
      <c r="NW14" s="14"/>
      <c r="NX14" s="14"/>
      <c r="NY14" s="14"/>
      <c r="NZ14" s="14"/>
      <c r="OA14" s="14"/>
      <c r="OB14" s="14"/>
      <c r="OC14" s="14"/>
      <c r="OD14" s="14"/>
      <c r="OE14" s="14"/>
      <c r="OF14" s="14"/>
      <c r="OG14" s="14"/>
      <c r="OH14" s="14"/>
      <c r="OI14" s="14"/>
      <c r="OJ14" s="14"/>
      <c r="OK14" s="14"/>
      <c r="OL14" s="14"/>
      <c r="OM14" s="14"/>
      <c r="ON14" s="14"/>
      <c r="OO14" s="14"/>
      <c r="OP14" s="14"/>
      <c r="OQ14" s="14"/>
      <c r="OR14" s="14"/>
      <c r="OS14" s="14"/>
      <c r="OT14" s="14"/>
      <c r="OU14" s="14"/>
      <c r="OV14" s="14"/>
      <c r="OW14" s="14"/>
      <c r="OX14" s="14"/>
      <c r="OY14" s="14"/>
      <c r="OZ14" s="14"/>
      <c r="PA14" s="14"/>
      <c r="PB14" s="14"/>
      <c r="PC14" s="14"/>
      <c r="PD14" s="14"/>
      <c r="PE14" s="14"/>
      <c r="PF14" s="14"/>
      <c r="PG14" s="14"/>
      <c r="PH14" s="14"/>
      <c r="PI14" s="14"/>
      <c r="PJ14" s="14"/>
      <c r="PK14" s="14"/>
      <c r="PL14" s="14"/>
      <c r="PM14" s="14"/>
      <c r="PN14" s="14"/>
      <c r="PO14" s="14"/>
      <c r="PP14" s="14"/>
      <c r="PQ14" s="14"/>
      <c r="PR14" s="14"/>
      <c r="PS14" s="14"/>
      <c r="PT14" s="14"/>
      <c r="PU14" s="14"/>
      <c r="PV14" s="14"/>
      <c r="PW14" s="14"/>
      <c r="PX14" s="14"/>
      <c r="PY14" s="14"/>
      <c r="PZ14" s="14"/>
      <c r="QA14" s="14"/>
      <c r="QB14" s="14"/>
      <c r="QC14" s="14"/>
      <c r="QD14" s="14"/>
      <c r="QE14" s="14"/>
      <c r="QF14" s="14"/>
      <c r="QG14" s="14"/>
      <c r="QH14" s="14"/>
      <c r="QI14" s="14"/>
      <c r="QJ14" s="14"/>
      <c r="QK14" s="14"/>
      <c r="QL14" s="14"/>
      <c r="QM14" s="14"/>
      <c r="QN14" s="14"/>
      <c r="QO14" s="14"/>
      <c r="QP14" s="14"/>
      <c r="QQ14" s="14"/>
      <c r="QR14" s="14"/>
      <c r="QS14" s="14"/>
      <c r="QT14" s="14"/>
      <c r="QU14" s="14"/>
      <c r="QV14" s="14"/>
      <c r="QW14" s="14"/>
      <c r="QX14" s="14"/>
      <c r="QY14" s="14"/>
      <c r="QZ14" s="14"/>
      <c r="RA14" s="14"/>
      <c r="RB14" s="14"/>
      <c r="RC14" s="14"/>
      <c r="RD14" s="14"/>
      <c r="RE14" s="14"/>
      <c r="RF14" s="14"/>
      <c r="RG14" s="14"/>
      <c r="RH14" s="14"/>
      <c r="RI14" s="14"/>
      <c r="RJ14" s="14"/>
      <c r="RK14" s="14"/>
      <c r="RL14" s="14"/>
      <c r="RM14" s="14"/>
      <c r="RN14" s="14"/>
      <c r="RO14" s="14"/>
      <c r="RP14" s="14"/>
      <c r="RQ14" s="14"/>
      <c r="RR14" s="14"/>
      <c r="RS14" s="14"/>
      <c r="RT14" s="14"/>
      <c r="RU14" s="14"/>
      <c r="RV14" s="14"/>
      <c r="RW14" s="14"/>
      <c r="RX14" s="14"/>
      <c r="RY14" s="14"/>
      <c r="RZ14" s="14"/>
      <c r="SA14" s="14"/>
      <c r="SB14" s="14"/>
      <c r="SC14" s="14"/>
    </row>
    <row r="15" spans="1:497" ht="27" customHeight="1" x14ac:dyDescent="0.15">
      <c r="A15" s="10">
        <v>1.4</v>
      </c>
      <c r="B15" s="11" t="s">
        <v>99</v>
      </c>
      <c r="C15" s="12"/>
      <c r="D15" s="12"/>
      <c r="E15" s="13"/>
      <c r="F15" s="88"/>
      <c r="G15" s="89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  <c r="IT15" s="14"/>
      <c r="IU15" s="14"/>
      <c r="IV15" s="14"/>
      <c r="IW15" s="14"/>
      <c r="IX15" s="14"/>
      <c r="IY15" s="14"/>
      <c r="IZ15" s="14"/>
      <c r="JA15" s="14"/>
      <c r="JB15" s="14"/>
      <c r="JC15" s="14"/>
      <c r="JD15" s="14"/>
      <c r="JE15" s="14"/>
      <c r="JF15" s="14"/>
      <c r="JG15" s="14"/>
      <c r="JH15" s="14"/>
      <c r="JI15" s="14"/>
      <c r="JJ15" s="14"/>
      <c r="JK15" s="14"/>
      <c r="JL15" s="14"/>
      <c r="JM15" s="14"/>
      <c r="JN15" s="14"/>
      <c r="JO15" s="14"/>
      <c r="JP15" s="14"/>
      <c r="JQ15" s="14"/>
      <c r="JR15" s="14"/>
      <c r="JS15" s="14"/>
      <c r="JT15" s="14"/>
      <c r="JU15" s="14"/>
      <c r="JV15" s="14"/>
      <c r="JW15" s="14"/>
      <c r="JX15" s="14"/>
      <c r="JY15" s="14"/>
      <c r="JZ15" s="14"/>
      <c r="KA15" s="14"/>
      <c r="KB15" s="14"/>
      <c r="KC15" s="14"/>
      <c r="KD15" s="14"/>
      <c r="KE15" s="14"/>
      <c r="KF15" s="14"/>
      <c r="KG15" s="14"/>
      <c r="KH15" s="14"/>
      <c r="KI15" s="14"/>
      <c r="KJ15" s="14"/>
      <c r="KK15" s="14"/>
      <c r="KL15" s="14"/>
      <c r="KM15" s="14"/>
      <c r="KN15" s="14"/>
      <c r="KO15" s="14"/>
      <c r="KP15" s="14"/>
      <c r="KQ15" s="14"/>
      <c r="KR15" s="14"/>
      <c r="KS15" s="14"/>
      <c r="KT15" s="14"/>
      <c r="KU15" s="14"/>
      <c r="KV15" s="14"/>
      <c r="KW15" s="14"/>
      <c r="KX15" s="14"/>
      <c r="KY15" s="14"/>
      <c r="KZ15" s="14"/>
      <c r="LA15" s="14"/>
      <c r="LB15" s="14"/>
      <c r="LC15" s="14"/>
      <c r="LD15" s="14"/>
      <c r="LE15" s="14"/>
      <c r="LF15" s="14"/>
      <c r="LG15" s="14"/>
      <c r="LH15" s="14"/>
      <c r="LI15" s="14"/>
      <c r="LJ15" s="14"/>
      <c r="LK15" s="14"/>
      <c r="LL15" s="14"/>
      <c r="LM15" s="14"/>
      <c r="LN15" s="14"/>
      <c r="LO15" s="14"/>
      <c r="LP15" s="14"/>
      <c r="LQ15" s="14"/>
      <c r="LR15" s="14"/>
      <c r="LS15" s="14"/>
      <c r="LT15" s="14"/>
      <c r="LU15" s="14"/>
      <c r="LV15" s="14"/>
      <c r="LW15" s="14"/>
      <c r="LX15" s="14"/>
      <c r="LY15" s="14"/>
      <c r="LZ15" s="14"/>
      <c r="MA15" s="14"/>
      <c r="MB15" s="14"/>
      <c r="MC15" s="14"/>
      <c r="MD15" s="14"/>
      <c r="ME15" s="14"/>
      <c r="MF15" s="14"/>
      <c r="MG15" s="14"/>
      <c r="MH15" s="14"/>
      <c r="MI15" s="14"/>
      <c r="MJ15" s="14"/>
      <c r="MK15" s="14"/>
      <c r="ML15" s="14"/>
      <c r="MM15" s="14"/>
      <c r="MN15" s="14"/>
      <c r="MO15" s="14"/>
      <c r="MP15" s="14"/>
      <c r="MQ15" s="14"/>
      <c r="MR15" s="14"/>
      <c r="MS15" s="14"/>
      <c r="MT15" s="14"/>
      <c r="MU15" s="14"/>
      <c r="MV15" s="14"/>
      <c r="MW15" s="14"/>
      <c r="MX15" s="14"/>
      <c r="MY15" s="14"/>
      <c r="MZ15" s="14"/>
      <c r="NA15" s="14"/>
      <c r="NB15" s="14"/>
      <c r="NC15" s="14"/>
      <c r="ND15" s="14"/>
      <c r="NE15" s="14"/>
      <c r="NF15" s="14"/>
      <c r="NG15" s="14"/>
      <c r="NH15" s="14"/>
      <c r="NI15" s="14"/>
      <c r="NJ15" s="14"/>
      <c r="NK15" s="14"/>
      <c r="NL15" s="14"/>
      <c r="NM15" s="14"/>
      <c r="NN15" s="14"/>
      <c r="NO15" s="14"/>
      <c r="NP15" s="14"/>
      <c r="NQ15" s="14"/>
      <c r="NR15" s="14"/>
      <c r="NS15" s="14"/>
      <c r="NT15" s="14"/>
      <c r="NU15" s="14"/>
      <c r="NV15" s="14"/>
      <c r="NW15" s="14"/>
      <c r="NX15" s="14"/>
      <c r="NY15" s="14"/>
      <c r="NZ15" s="14"/>
      <c r="OA15" s="14"/>
      <c r="OB15" s="14"/>
      <c r="OC15" s="14"/>
      <c r="OD15" s="14"/>
      <c r="OE15" s="14"/>
      <c r="OF15" s="14"/>
      <c r="OG15" s="14"/>
      <c r="OH15" s="14"/>
      <c r="OI15" s="14"/>
      <c r="OJ15" s="14"/>
      <c r="OK15" s="14"/>
      <c r="OL15" s="14"/>
      <c r="OM15" s="14"/>
      <c r="ON15" s="14"/>
      <c r="OO15" s="14"/>
      <c r="OP15" s="14"/>
      <c r="OQ15" s="14"/>
      <c r="OR15" s="14"/>
      <c r="OS15" s="14"/>
      <c r="OT15" s="14"/>
      <c r="OU15" s="14"/>
      <c r="OV15" s="14"/>
      <c r="OW15" s="14"/>
      <c r="OX15" s="14"/>
      <c r="OY15" s="14"/>
      <c r="OZ15" s="14"/>
      <c r="PA15" s="14"/>
      <c r="PB15" s="14"/>
      <c r="PC15" s="14"/>
      <c r="PD15" s="14"/>
      <c r="PE15" s="14"/>
      <c r="PF15" s="14"/>
      <c r="PG15" s="14"/>
      <c r="PH15" s="14"/>
      <c r="PI15" s="14"/>
      <c r="PJ15" s="14"/>
      <c r="PK15" s="14"/>
      <c r="PL15" s="14"/>
      <c r="PM15" s="14"/>
      <c r="PN15" s="14"/>
      <c r="PO15" s="14"/>
      <c r="PP15" s="14"/>
      <c r="PQ15" s="14"/>
      <c r="PR15" s="14"/>
      <c r="PS15" s="14"/>
      <c r="PT15" s="14"/>
      <c r="PU15" s="14"/>
      <c r="PV15" s="14"/>
      <c r="PW15" s="14"/>
      <c r="PX15" s="14"/>
      <c r="PY15" s="14"/>
      <c r="PZ15" s="14"/>
      <c r="QA15" s="14"/>
      <c r="QB15" s="14"/>
      <c r="QC15" s="14"/>
      <c r="QD15" s="14"/>
      <c r="QE15" s="14"/>
      <c r="QF15" s="14"/>
      <c r="QG15" s="14"/>
      <c r="QH15" s="14"/>
      <c r="QI15" s="14"/>
      <c r="QJ15" s="14"/>
      <c r="QK15" s="14"/>
      <c r="QL15" s="14"/>
      <c r="QM15" s="14"/>
      <c r="QN15" s="14"/>
      <c r="QO15" s="14"/>
      <c r="QP15" s="14"/>
      <c r="QQ15" s="14"/>
      <c r="QR15" s="14"/>
      <c r="QS15" s="14"/>
      <c r="QT15" s="14"/>
      <c r="QU15" s="14"/>
      <c r="QV15" s="14"/>
      <c r="QW15" s="14"/>
      <c r="QX15" s="14"/>
      <c r="QY15" s="14"/>
      <c r="QZ15" s="14"/>
      <c r="RA15" s="14"/>
      <c r="RB15" s="14"/>
      <c r="RC15" s="14"/>
      <c r="RD15" s="14"/>
      <c r="RE15" s="14"/>
      <c r="RF15" s="14"/>
      <c r="RG15" s="14"/>
      <c r="RH15" s="14"/>
      <c r="RI15" s="14"/>
      <c r="RJ15" s="14"/>
      <c r="RK15" s="14"/>
      <c r="RL15" s="14"/>
      <c r="RM15" s="14"/>
      <c r="RN15" s="14"/>
      <c r="RO15" s="14"/>
      <c r="RP15" s="14"/>
      <c r="RQ15" s="14"/>
      <c r="RR15" s="14"/>
      <c r="RS15" s="14"/>
      <c r="RT15" s="14"/>
      <c r="RU15" s="14"/>
      <c r="RV15" s="14"/>
      <c r="RW15" s="14"/>
      <c r="RX15" s="14"/>
      <c r="RY15" s="14"/>
      <c r="RZ15" s="14"/>
      <c r="SA15" s="14"/>
      <c r="SB15" s="14"/>
      <c r="SC15" s="14"/>
    </row>
    <row r="16" spans="1:497" ht="27" customHeight="1" x14ac:dyDescent="0.15">
      <c r="A16" s="10">
        <v>1.5</v>
      </c>
      <c r="B16" s="11" t="s">
        <v>100</v>
      </c>
      <c r="C16" s="12"/>
      <c r="D16" s="12"/>
      <c r="E16" s="13"/>
      <c r="F16" s="88"/>
      <c r="G16" s="89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  <c r="IU16" s="14"/>
      <c r="IV16" s="14"/>
      <c r="IW16" s="14"/>
      <c r="IX16" s="14"/>
      <c r="IY16" s="14"/>
      <c r="IZ16" s="14"/>
      <c r="JA16" s="14"/>
      <c r="JB16" s="14"/>
      <c r="JC16" s="14"/>
      <c r="JD16" s="14"/>
      <c r="JE16" s="14"/>
      <c r="JF16" s="14"/>
      <c r="JG16" s="14"/>
      <c r="JH16" s="14"/>
      <c r="JI16" s="14"/>
      <c r="JJ16" s="14"/>
      <c r="JK16" s="14"/>
      <c r="JL16" s="14"/>
      <c r="JM16" s="14"/>
      <c r="JN16" s="14"/>
      <c r="JO16" s="14"/>
      <c r="JP16" s="14"/>
      <c r="JQ16" s="14"/>
      <c r="JR16" s="14"/>
      <c r="JS16" s="14"/>
      <c r="JT16" s="14"/>
      <c r="JU16" s="14"/>
      <c r="JV16" s="14"/>
      <c r="JW16" s="14"/>
      <c r="JX16" s="14"/>
      <c r="JY16" s="14"/>
      <c r="JZ16" s="14"/>
      <c r="KA16" s="14"/>
      <c r="KB16" s="14"/>
      <c r="KC16" s="14"/>
      <c r="KD16" s="14"/>
      <c r="KE16" s="14"/>
      <c r="KF16" s="14"/>
      <c r="KG16" s="14"/>
      <c r="KH16" s="14"/>
      <c r="KI16" s="14"/>
      <c r="KJ16" s="14"/>
      <c r="KK16" s="14"/>
      <c r="KL16" s="14"/>
      <c r="KM16" s="14"/>
      <c r="KN16" s="14"/>
      <c r="KO16" s="14"/>
      <c r="KP16" s="14"/>
      <c r="KQ16" s="14"/>
      <c r="KR16" s="14"/>
      <c r="KS16" s="14"/>
      <c r="KT16" s="14"/>
      <c r="KU16" s="14"/>
      <c r="KV16" s="14"/>
      <c r="KW16" s="14"/>
      <c r="KX16" s="14"/>
      <c r="KY16" s="14"/>
      <c r="KZ16" s="14"/>
      <c r="LA16" s="14"/>
      <c r="LB16" s="14"/>
      <c r="LC16" s="14"/>
      <c r="LD16" s="14"/>
      <c r="LE16" s="14"/>
      <c r="LF16" s="14"/>
      <c r="LG16" s="14"/>
      <c r="LH16" s="14"/>
      <c r="LI16" s="14"/>
      <c r="LJ16" s="14"/>
      <c r="LK16" s="14"/>
      <c r="LL16" s="14"/>
      <c r="LM16" s="14"/>
      <c r="LN16" s="14"/>
      <c r="LO16" s="14"/>
      <c r="LP16" s="14"/>
      <c r="LQ16" s="14"/>
      <c r="LR16" s="14"/>
      <c r="LS16" s="14"/>
      <c r="LT16" s="14"/>
      <c r="LU16" s="14"/>
      <c r="LV16" s="14"/>
      <c r="LW16" s="14"/>
      <c r="LX16" s="14"/>
      <c r="LY16" s="14"/>
      <c r="LZ16" s="14"/>
      <c r="MA16" s="14"/>
      <c r="MB16" s="14"/>
      <c r="MC16" s="14"/>
      <c r="MD16" s="14"/>
      <c r="ME16" s="14"/>
      <c r="MF16" s="14"/>
      <c r="MG16" s="14"/>
      <c r="MH16" s="14"/>
      <c r="MI16" s="14"/>
      <c r="MJ16" s="14"/>
      <c r="MK16" s="14"/>
      <c r="ML16" s="14"/>
      <c r="MM16" s="14"/>
      <c r="MN16" s="14"/>
      <c r="MO16" s="14"/>
      <c r="MP16" s="14"/>
      <c r="MQ16" s="14"/>
      <c r="MR16" s="14"/>
      <c r="MS16" s="14"/>
      <c r="MT16" s="14"/>
      <c r="MU16" s="14"/>
      <c r="MV16" s="14"/>
      <c r="MW16" s="14"/>
      <c r="MX16" s="14"/>
      <c r="MY16" s="14"/>
      <c r="MZ16" s="14"/>
      <c r="NA16" s="14"/>
      <c r="NB16" s="14"/>
      <c r="NC16" s="14"/>
      <c r="ND16" s="14"/>
      <c r="NE16" s="14"/>
      <c r="NF16" s="14"/>
      <c r="NG16" s="14"/>
      <c r="NH16" s="14"/>
      <c r="NI16" s="14"/>
      <c r="NJ16" s="14"/>
      <c r="NK16" s="14"/>
      <c r="NL16" s="14"/>
      <c r="NM16" s="14"/>
      <c r="NN16" s="14"/>
      <c r="NO16" s="14"/>
      <c r="NP16" s="14"/>
      <c r="NQ16" s="14"/>
      <c r="NR16" s="14"/>
      <c r="NS16" s="14"/>
      <c r="NT16" s="14"/>
      <c r="NU16" s="14"/>
      <c r="NV16" s="14"/>
      <c r="NW16" s="14"/>
      <c r="NX16" s="14"/>
      <c r="NY16" s="14"/>
      <c r="NZ16" s="14"/>
      <c r="OA16" s="14"/>
      <c r="OB16" s="14"/>
      <c r="OC16" s="14"/>
      <c r="OD16" s="14"/>
      <c r="OE16" s="14"/>
      <c r="OF16" s="14"/>
      <c r="OG16" s="14"/>
      <c r="OH16" s="14"/>
      <c r="OI16" s="14"/>
      <c r="OJ16" s="14"/>
      <c r="OK16" s="14"/>
      <c r="OL16" s="14"/>
      <c r="OM16" s="14"/>
      <c r="ON16" s="14"/>
      <c r="OO16" s="14"/>
      <c r="OP16" s="14"/>
      <c r="OQ16" s="14"/>
      <c r="OR16" s="14"/>
      <c r="OS16" s="14"/>
      <c r="OT16" s="14"/>
      <c r="OU16" s="14"/>
      <c r="OV16" s="14"/>
      <c r="OW16" s="14"/>
      <c r="OX16" s="14"/>
      <c r="OY16" s="14"/>
      <c r="OZ16" s="14"/>
      <c r="PA16" s="14"/>
      <c r="PB16" s="14"/>
      <c r="PC16" s="14"/>
      <c r="PD16" s="14"/>
      <c r="PE16" s="14"/>
      <c r="PF16" s="14"/>
      <c r="PG16" s="14"/>
      <c r="PH16" s="14"/>
      <c r="PI16" s="14"/>
      <c r="PJ16" s="14"/>
      <c r="PK16" s="14"/>
      <c r="PL16" s="14"/>
      <c r="PM16" s="14"/>
      <c r="PN16" s="14"/>
      <c r="PO16" s="14"/>
      <c r="PP16" s="14"/>
      <c r="PQ16" s="14"/>
      <c r="PR16" s="14"/>
      <c r="PS16" s="14"/>
      <c r="PT16" s="14"/>
      <c r="PU16" s="14"/>
      <c r="PV16" s="14"/>
      <c r="PW16" s="14"/>
      <c r="PX16" s="14"/>
      <c r="PY16" s="14"/>
      <c r="PZ16" s="14"/>
      <c r="QA16" s="14"/>
      <c r="QB16" s="14"/>
      <c r="QC16" s="14"/>
      <c r="QD16" s="14"/>
      <c r="QE16" s="14"/>
      <c r="QF16" s="14"/>
      <c r="QG16" s="14"/>
      <c r="QH16" s="14"/>
      <c r="QI16" s="14"/>
      <c r="QJ16" s="14"/>
      <c r="QK16" s="14"/>
      <c r="QL16" s="14"/>
      <c r="QM16" s="14"/>
      <c r="QN16" s="14"/>
      <c r="QO16" s="14"/>
      <c r="QP16" s="14"/>
      <c r="QQ16" s="14"/>
      <c r="QR16" s="14"/>
      <c r="QS16" s="14"/>
      <c r="QT16" s="14"/>
      <c r="QU16" s="14"/>
      <c r="QV16" s="14"/>
      <c r="QW16" s="14"/>
      <c r="QX16" s="14"/>
      <c r="QY16" s="14"/>
      <c r="QZ16" s="14"/>
      <c r="RA16" s="14"/>
      <c r="RB16" s="14"/>
      <c r="RC16" s="14"/>
      <c r="RD16" s="14"/>
      <c r="RE16" s="14"/>
      <c r="RF16" s="14"/>
      <c r="RG16" s="14"/>
      <c r="RH16" s="14"/>
      <c r="RI16" s="14"/>
      <c r="RJ16" s="14"/>
      <c r="RK16" s="14"/>
      <c r="RL16" s="14"/>
      <c r="RM16" s="14"/>
      <c r="RN16" s="14"/>
      <c r="RO16" s="14"/>
      <c r="RP16" s="14"/>
      <c r="RQ16" s="14"/>
      <c r="RR16" s="14"/>
      <c r="RS16" s="14"/>
      <c r="RT16" s="14"/>
      <c r="RU16" s="14"/>
      <c r="RV16" s="14"/>
      <c r="RW16" s="14"/>
      <c r="RX16" s="14"/>
      <c r="RY16" s="14"/>
      <c r="RZ16" s="14"/>
      <c r="SA16" s="14"/>
      <c r="SB16" s="14"/>
      <c r="SC16" s="14"/>
    </row>
    <row r="17" spans="1:497" ht="27" customHeight="1" x14ac:dyDescent="0.15">
      <c r="A17" s="10">
        <v>1.6</v>
      </c>
      <c r="B17" s="11" t="s">
        <v>101</v>
      </c>
      <c r="C17" s="12"/>
      <c r="D17" s="12"/>
      <c r="E17" s="13"/>
      <c r="F17" s="88"/>
      <c r="G17" s="89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  <c r="IU17" s="14"/>
      <c r="IV17" s="14"/>
      <c r="IW17" s="14"/>
      <c r="IX17" s="14"/>
      <c r="IY17" s="14"/>
      <c r="IZ17" s="14"/>
      <c r="JA17" s="14"/>
      <c r="JB17" s="14"/>
      <c r="JC17" s="14"/>
      <c r="JD17" s="14"/>
      <c r="JE17" s="14"/>
      <c r="JF17" s="14"/>
      <c r="JG17" s="14"/>
      <c r="JH17" s="14"/>
      <c r="JI17" s="14"/>
      <c r="JJ17" s="14"/>
      <c r="JK17" s="14"/>
      <c r="JL17" s="14"/>
      <c r="JM17" s="14"/>
      <c r="JN17" s="14"/>
      <c r="JO17" s="14"/>
      <c r="JP17" s="14"/>
      <c r="JQ17" s="14"/>
      <c r="JR17" s="14"/>
      <c r="JS17" s="14"/>
      <c r="JT17" s="14"/>
      <c r="JU17" s="14"/>
      <c r="JV17" s="14"/>
      <c r="JW17" s="14"/>
      <c r="JX17" s="14"/>
      <c r="JY17" s="14"/>
      <c r="JZ17" s="14"/>
      <c r="KA17" s="14"/>
      <c r="KB17" s="14"/>
      <c r="KC17" s="14"/>
      <c r="KD17" s="14"/>
      <c r="KE17" s="14"/>
      <c r="KF17" s="14"/>
      <c r="KG17" s="14"/>
      <c r="KH17" s="14"/>
      <c r="KI17" s="14"/>
      <c r="KJ17" s="14"/>
      <c r="KK17" s="14"/>
      <c r="KL17" s="14"/>
      <c r="KM17" s="14"/>
      <c r="KN17" s="14"/>
      <c r="KO17" s="14"/>
      <c r="KP17" s="14"/>
      <c r="KQ17" s="14"/>
      <c r="KR17" s="14"/>
      <c r="KS17" s="14"/>
      <c r="KT17" s="14"/>
      <c r="KU17" s="14"/>
      <c r="KV17" s="14"/>
      <c r="KW17" s="14"/>
      <c r="KX17" s="14"/>
      <c r="KY17" s="14"/>
      <c r="KZ17" s="14"/>
      <c r="LA17" s="14"/>
      <c r="LB17" s="14"/>
      <c r="LC17" s="14"/>
      <c r="LD17" s="14"/>
      <c r="LE17" s="14"/>
      <c r="LF17" s="14"/>
      <c r="LG17" s="14"/>
      <c r="LH17" s="14"/>
      <c r="LI17" s="14"/>
      <c r="LJ17" s="14"/>
      <c r="LK17" s="14"/>
      <c r="LL17" s="14"/>
      <c r="LM17" s="14"/>
      <c r="LN17" s="14"/>
      <c r="LO17" s="14"/>
      <c r="LP17" s="14"/>
      <c r="LQ17" s="14"/>
      <c r="LR17" s="14"/>
      <c r="LS17" s="14"/>
      <c r="LT17" s="14"/>
      <c r="LU17" s="14"/>
      <c r="LV17" s="14"/>
      <c r="LW17" s="14"/>
      <c r="LX17" s="14"/>
      <c r="LY17" s="14"/>
      <c r="LZ17" s="14"/>
      <c r="MA17" s="14"/>
      <c r="MB17" s="14"/>
      <c r="MC17" s="14"/>
      <c r="MD17" s="14"/>
      <c r="ME17" s="14"/>
      <c r="MF17" s="14"/>
      <c r="MG17" s="14"/>
      <c r="MH17" s="14"/>
      <c r="MI17" s="14"/>
      <c r="MJ17" s="14"/>
      <c r="MK17" s="14"/>
      <c r="ML17" s="14"/>
      <c r="MM17" s="14"/>
      <c r="MN17" s="14"/>
      <c r="MO17" s="14"/>
      <c r="MP17" s="14"/>
      <c r="MQ17" s="14"/>
      <c r="MR17" s="14"/>
      <c r="MS17" s="14"/>
      <c r="MT17" s="14"/>
      <c r="MU17" s="14"/>
      <c r="MV17" s="14"/>
      <c r="MW17" s="14"/>
      <c r="MX17" s="14"/>
      <c r="MY17" s="14"/>
      <c r="MZ17" s="14"/>
      <c r="NA17" s="14"/>
      <c r="NB17" s="14"/>
      <c r="NC17" s="14"/>
      <c r="ND17" s="14"/>
      <c r="NE17" s="14"/>
      <c r="NF17" s="14"/>
      <c r="NG17" s="14"/>
      <c r="NH17" s="14"/>
      <c r="NI17" s="14"/>
      <c r="NJ17" s="14"/>
      <c r="NK17" s="14"/>
      <c r="NL17" s="14"/>
      <c r="NM17" s="14"/>
      <c r="NN17" s="14"/>
      <c r="NO17" s="14"/>
      <c r="NP17" s="14"/>
      <c r="NQ17" s="14"/>
      <c r="NR17" s="14"/>
      <c r="NS17" s="14"/>
      <c r="NT17" s="14"/>
      <c r="NU17" s="14"/>
      <c r="NV17" s="14"/>
      <c r="NW17" s="14"/>
      <c r="NX17" s="14"/>
      <c r="NY17" s="14"/>
      <c r="NZ17" s="14"/>
      <c r="OA17" s="14"/>
      <c r="OB17" s="14"/>
      <c r="OC17" s="14"/>
      <c r="OD17" s="14"/>
      <c r="OE17" s="14"/>
      <c r="OF17" s="14"/>
      <c r="OG17" s="14"/>
      <c r="OH17" s="14"/>
      <c r="OI17" s="14"/>
      <c r="OJ17" s="14"/>
      <c r="OK17" s="14"/>
      <c r="OL17" s="14"/>
      <c r="OM17" s="14"/>
      <c r="ON17" s="14"/>
      <c r="OO17" s="14"/>
      <c r="OP17" s="14"/>
      <c r="OQ17" s="14"/>
      <c r="OR17" s="14"/>
      <c r="OS17" s="14"/>
      <c r="OT17" s="14"/>
      <c r="OU17" s="14"/>
      <c r="OV17" s="14"/>
      <c r="OW17" s="14"/>
      <c r="OX17" s="14"/>
      <c r="OY17" s="14"/>
      <c r="OZ17" s="14"/>
      <c r="PA17" s="14"/>
      <c r="PB17" s="14"/>
      <c r="PC17" s="14"/>
      <c r="PD17" s="14"/>
      <c r="PE17" s="14"/>
      <c r="PF17" s="14"/>
      <c r="PG17" s="14"/>
      <c r="PH17" s="14"/>
      <c r="PI17" s="14"/>
      <c r="PJ17" s="14"/>
      <c r="PK17" s="14"/>
      <c r="PL17" s="14"/>
      <c r="PM17" s="14"/>
      <c r="PN17" s="14"/>
      <c r="PO17" s="14"/>
      <c r="PP17" s="14"/>
      <c r="PQ17" s="14"/>
      <c r="PR17" s="14"/>
      <c r="PS17" s="14"/>
      <c r="PT17" s="14"/>
      <c r="PU17" s="14"/>
      <c r="PV17" s="14"/>
      <c r="PW17" s="14"/>
      <c r="PX17" s="14"/>
      <c r="PY17" s="14"/>
      <c r="PZ17" s="14"/>
      <c r="QA17" s="14"/>
      <c r="QB17" s="14"/>
      <c r="QC17" s="14"/>
      <c r="QD17" s="14"/>
      <c r="QE17" s="14"/>
      <c r="QF17" s="14"/>
      <c r="QG17" s="14"/>
      <c r="QH17" s="14"/>
      <c r="QI17" s="14"/>
      <c r="QJ17" s="14"/>
      <c r="QK17" s="14"/>
      <c r="QL17" s="14"/>
      <c r="QM17" s="14"/>
      <c r="QN17" s="14"/>
      <c r="QO17" s="14"/>
      <c r="QP17" s="14"/>
      <c r="QQ17" s="14"/>
      <c r="QR17" s="14"/>
      <c r="QS17" s="14"/>
      <c r="QT17" s="14"/>
      <c r="QU17" s="14"/>
      <c r="QV17" s="14"/>
      <c r="QW17" s="14"/>
      <c r="QX17" s="14"/>
      <c r="QY17" s="14"/>
      <c r="QZ17" s="14"/>
      <c r="RA17" s="14"/>
      <c r="RB17" s="14"/>
      <c r="RC17" s="14"/>
      <c r="RD17" s="14"/>
      <c r="RE17" s="14"/>
      <c r="RF17" s="14"/>
      <c r="RG17" s="14"/>
      <c r="RH17" s="14"/>
      <c r="RI17" s="14"/>
      <c r="RJ17" s="14"/>
      <c r="RK17" s="14"/>
      <c r="RL17" s="14"/>
      <c r="RM17" s="14"/>
      <c r="RN17" s="14"/>
      <c r="RO17" s="14"/>
      <c r="RP17" s="14"/>
      <c r="RQ17" s="14"/>
      <c r="RR17" s="14"/>
      <c r="RS17" s="14"/>
      <c r="RT17" s="14"/>
      <c r="RU17" s="14"/>
      <c r="RV17" s="14"/>
      <c r="RW17" s="14"/>
      <c r="RX17" s="14"/>
      <c r="RY17" s="14"/>
      <c r="RZ17" s="14"/>
      <c r="SA17" s="14"/>
      <c r="SB17" s="14"/>
      <c r="SC17" s="14"/>
    </row>
    <row r="18" spans="1:497" ht="27" customHeight="1" thickTop="1" thickBot="1" x14ac:dyDescent="0.2">
      <c r="A18" s="10">
        <v>1.7</v>
      </c>
      <c r="B18" s="11" t="s">
        <v>102</v>
      </c>
      <c r="C18" s="12"/>
      <c r="D18" s="12"/>
      <c r="E18" s="13"/>
      <c r="F18" s="88"/>
      <c r="G18" s="89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  <c r="IU18" s="14"/>
      <c r="IV18" s="14"/>
      <c r="IW18" s="14"/>
      <c r="IX18" s="14"/>
      <c r="IY18" s="14"/>
      <c r="IZ18" s="14"/>
      <c r="JA18" s="14"/>
      <c r="JB18" s="14"/>
      <c r="JC18" s="14"/>
      <c r="JD18" s="14"/>
      <c r="JE18" s="14"/>
      <c r="JF18" s="14"/>
      <c r="JG18" s="14"/>
      <c r="JH18" s="14"/>
      <c r="JI18" s="14"/>
      <c r="JJ18" s="14"/>
      <c r="JK18" s="14"/>
      <c r="JL18" s="14"/>
      <c r="JM18" s="14"/>
      <c r="JN18" s="14"/>
      <c r="JO18" s="14"/>
      <c r="JP18" s="14"/>
      <c r="JQ18" s="14"/>
      <c r="JR18" s="14"/>
      <c r="JS18" s="14"/>
      <c r="JT18" s="14"/>
      <c r="JU18" s="14"/>
      <c r="JV18" s="14"/>
      <c r="JW18" s="14"/>
      <c r="JX18" s="14"/>
      <c r="JY18" s="14"/>
      <c r="JZ18" s="14"/>
      <c r="KA18" s="14"/>
      <c r="KB18" s="14"/>
      <c r="KC18" s="14"/>
      <c r="KD18" s="14"/>
      <c r="KE18" s="14"/>
      <c r="KF18" s="14"/>
      <c r="KG18" s="14"/>
      <c r="KH18" s="14"/>
      <c r="KI18" s="14"/>
      <c r="KJ18" s="14"/>
      <c r="KK18" s="14"/>
      <c r="KL18" s="14"/>
      <c r="KM18" s="14"/>
      <c r="KN18" s="14"/>
      <c r="KO18" s="14"/>
      <c r="KP18" s="14"/>
      <c r="KQ18" s="14"/>
      <c r="KR18" s="14"/>
      <c r="KS18" s="14"/>
      <c r="KT18" s="14"/>
      <c r="KU18" s="14"/>
      <c r="KV18" s="14"/>
      <c r="KW18" s="14"/>
      <c r="KX18" s="14"/>
      <c r="KY18" s="14"/>
      <c r="KZ18" s="14"/>
      <c r="LA18" s="14"/>
      <c r="LB18" s="14"/>
      <c r="LC18" s="14"/>
      <c r="LD18" s="14"/>
      <c r="LE18" s="14"/>
      <c r="LF18" s="14"/>
      <c r="LG18" s="14"/>
      <c r="LH18" s="14"/>
      <c r="LI18" s="14"/>
      <c r="LJ18" s="14"/>
      <c r="LK18" s="14"/>
      <c r="LL18" s="14"/>
      <c r="LM18" s="14"/>
      <c r="LN18" s="14"/>
      <c r="LO18" s="14"/>
      <c r="LP18" s="14"/>
      <c r="LQ18" s="14"/>
      <c r="LR18" s="14"/>
      <c r="LS18" s="14"/>
      <c r="LT18" s="14"/>
      <c r="LU18" s="14"/>
      <c r="LV18" s="14"/>
      <c r="LW18" s="14"/>
      <c r="LX18" s="14"/>
      <c r="LY18" s="14"/>
      <c r="LZ18" s="14"/>
      <c r="MA18" s="14"/>
      <c r="MB18" s="14"/>
      <c r="MC18" s="14"/>
      <c r="MD18" s="14"/>
      <c r="ME18" s="14"/>
      <c r="MF18" s="14"/>
      <c r="MG18" s="14"/>
      <c r="MH18" s="14"/>
      <c r="MI18" s="14"/>
      <c r="MJ18" s="14"/>
      <c r="MK18" s="14"/>
      <c r="ML18" s="14"/>
      <c r="MM18" s="14"/>
      <c r="MN18" s="14"/>
      <c r="MO18" s="14"/>
      <c r="MP18" s="14"/>
      <c r="MQ18" s="14"/>
      <c r="MR18" s="14"/>
      <c r="MS18" s="14"/>
      <c r="MT18" s="14"/>
      <c r="MU18" s="14"/>
      <c r="MV18" s="14"/>
      <c r="MW18" s="14"/>
      <c r="MX18" s="14"/>
      <c r="MY18" s="14"/>
      <c r="MZ18" s="14"/>
      <c r="NA18" s="14"/>
      <c r="NB18" s="14"/>
      <c r="NC18" s="14"/>
      <c r="ND18" s="14"/>
      <c r="NE18" s="14"/>
      <c r="NF18" s="14"/>
      <c r="NG18" s="14"/>
      <c r="NH18" s="14"/>
      <c r="NI18" s="14"/>
      <c r="NJ18" s="14"/>
      <c r="NK18" s="14"/>
      <c r="NL18" s="14"/>
      <c r="NM18" s="14"/>
      <c r="NN18" s="14"/>
      <c r="NO18" s="14"/>
      <c r="NP18" s="14"/>
      <c r="NQ18" s="14"/>
      <c r="NR18" s="14"/>
      <c r="NS18" s="14"/>
      <c r="NT18" s="14"/>
      <c r="NU18" s="14"/>
      <c r="NV18" s="14"/>
      <c r="NW18" s="14"/>
      <c r="NX18" s="14"/>
      <c r="NY18" s="14"/>
      <c r="NZ18" s="14"/>
      <c r="OA18" s="14"/>
      <c r="OB18" s="14"/>
      <c r="OC18" s="14"/>
      <c r="OD18" s="14"/>
      <c r="OE18" s="14"/>
      <c r="OF18" s="14"/>
      <c r="OG18" s="14"/>
      <c r="OH18" s="14"/>
      <c r="OI18" s="14"/>
      <c r="OJ18" s="14"/>
      <c r="OK18" s="14"/>
      <c r="OL18" s="14"/>
      <c r="OM18" s="14"/>
      <c r="ON18" s="14"/>
      <c r="OO18" s="14"/>
      <c r="OP18" s="14"/>
      <c r="OQ18" s="14"/>
      <c r="OR18" s="14"/>
      <c r="OS18" s="14"/>
      <c r="OT18" s="14"/>
      <c r="OU18" s="14"/>
      <c r="OV18" s="14"/>
      <c r="OW18" s="14"/>
      <c r="OX18" s="14"/>
      <c r="OY18" s="14"/>
      <c r="OZ18" s="14"/>
      <c r="PA18" s="14"/>
      <c r="PB18" s="14"/>
      <c r="PC18" s="14"/>
      <c r="PD18" s="14"/>
      <c r="PE18" s="14"/>
      <c r="PF18" s="14"/>
      <c r="PG18" s="14"/>
      <c r="PH18" s="14"/>
      <c r="PI18" s="14"/>
      <c r="PJ18" s="14"/>
      <c r="PK18" s="14"/>
      <c r="PL18" s="14"/>
      <c r="PM18" s="14"/>
      <c r="PN18" s="14"/>
      <c r="PO18" s="14"/>
      <c r="PP18" s="14"/>
      <c r="PQ18" s="14"/>
      <c r="PR18" s="14"/>
      <c r="PS18" s="14"/>
      <c r="PT18" s="14"/>
      <c r="PU18" s="14"/>
      <c r="PV18" s="14"/>
      <c r="PW18" s="14"/>
      <c r="PX18" s="14"/>
      <c r="PY18" s="14"/>
      <c r="PZ18" s="14"/>
      <c r="QA18" s="14"/>
      <c r="QB18" s="14"/>
      <c r="QC18" s="14"/>
      <c r="QD18" s="14"/>
      <c r="QE18" s="14"/>
      <c r="QF18" s="14"/>
      <c r="QG18" s="14"/>
      <c r="QH18" s="14"/>
      <c r="QI18" s="14"/>
      <c r="QJ18" s="14"/>
      <c r="QK18" s="14"/>
      <c r="QL18" s="14"/>
      <c r="QM18" s="14"/>
      <c r="QN18" s="14"/>
      <c r="QO18" s="14"/>
      <c r="QP18" s="14"/>
      <c r="QQ18" s="14"/>
      <c r="QR18" s="14"/>
      <c r="QS18" s="14"/>
      <c r="QT18" s="14"/>
      <c r="QU18" s="14"/>
      <c r="QV18" s="14"/>
      <c r="QW18" s="14"/>
      <c r="QX18" s="14"/>
      <c r="QY18" s="14"/>
      <c r="QZ18" s="14"/>
      <c r="RA18" s="14"/>
      <c r="RB18" s="14"/>
      <c r="RC18" s="14"/>
      <c r="RD18" s="14"/>
      <c r="RE18" s="14"/>
      <c r="RF18" s="14"/>
      <c r="RG18" s="14"/>
      <c r="RH18" s="14"/>
      <c r="RI18" s="14"/>
      <c r="RJ18" s="14"/>
      <c r="RK18" s="14"/>
      <c r="RL18" s="14"/>
      <c r="RM18" s="14"/>
      <c r="RN18" s="14"/>
      <c r="RO18" s="14"/>
      <c r="RP18" s="14"/>
      <c r="RQ18" s="14"/>
      <c r="RR18" s="14"/>
      <c r="RS18" s="14"/>
      <c r="RT18" s="14"/>
      <c r="RU18" s="14"/>
      <c r="RV18" s="14"/>
      <c r="RW18" s="14"/>
      <c r="RX18" s="14"/>
      <c r="RY18" s="14"/>
      <c r="RZ18" s="14"/>
      <c r="SA18" s="14"/>
      <c r="SB18" s="14"/>
      <c r="SC18" s="14"/>
    </row>
    <row r="19" spans="1:497" ht="27" customHeight="1" thickTop="1" thickBot="1" x14ac:dyDescent="0.2">
      <c r="A19" s="129" t="s">
        <v>103</v>
      </c>
      <c r="B19" s="130"/>
      <c r="C19" s="15"/>
      <c r="D19" s="15"/>
      <c r="E19" s="16"/>
      <c r="F19" s="90"/>
      <c r="G19" s="91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  <c r="QQ19" s="14"/>
      <c r="QR19" s="14"/>
      <c r="QS19" s="14"/>
      <c r="QT19" s="14"/>
      <c r="QU19" s="14"/>
      <c r="QV19" s="14"/>
      <c r="QW19" s="14"/>
      <c r="QX19" s="14"/>
      <c r="QY19" s="14"/>
      <c r="QZ19" s="14"/>
      <c r="RA19" s="14"/>
      <c r="RB19" s="14"/>
      <c r="RC19" s="14"/>
      <c r="RD19" s="14"/>
      <c r="RE19" s="14"/>
      <c r="RF19" s="14"/>
      <c r="RG19" s="14"/>
      <c r="RH19" s="14"/>
      <c r="RI19" s="14"/>
      <c r="RJ19" s="14"/>
      <c r="RK19" s="14"/>
      <c r="RL19" s="14"/>
      <c r="RM19" s="14"/>
      <c r="RN19" s="14"/>
      <c r="RO19" s="14"/>
      <c r="RP19" s="14"/>
      <c r="RQ19" s="14"/>
      <c r="RR19" s="14"/>
      <c r="RS19" s="14"/>
      <c r="RT19" s="14"/>
      <c r="RU19" s="14"/>
      <c r="RV19" s="14"/>
      <c r="RW19" s="14"/>
      <c r="RX19" s="14"/>
      <c r="RY19" s="14"/>
      <c r="RZ19" s="14"/>
      <c r="SA19" s="14"/>
      <c r="SB19" s="14"/>
      <c r="SC19" s="14"/>
    </row>
    <row r="20" spans="1:497" ht="27" customHeight="1" x14ac:dyDescent="0.15">
      <c r="A20" s="10">
        <v>2.1</v>
      </c>
      <c r="B20" s="11" t="s">
        <v>104</v>
      </c>
      <c r="C20" s="12"/>
      <c r="D20" s="12"/>
      <c r="E20" s="13"/>
      <c r="F20" s="88"/>
      <c r="G20" s="89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  <c r="IU20" s="14"/>
      <c r="IV20" s="14"/>
      <c r="IW20" s="14"/>
      <c r="IX20" s="14"/>
      <c r="IY20" s="14"/>
      <c r="IZ20" s="14"/>
      <c r="JA20" s="14"/>
      <c r="JB20" s="14"/>
      <c r="JC20" s="14"/>
      <c r="JD20" s="14"/>
      <c r="JE20" s="14"/>
      <c r="JF20" s="14"/>
      <c r="JG20" s="14"/>
      <c r="JH20" s="14"/>
      <c r="JI20" s="14"/>
      <c r="JJ20" s="14"/>
      <c r="JK20" s="14"/>
      <c r="JL20" s="14"/>
      <c r="JM20" s="14"/>
      <c r="JN20" s="14"/>
      <c r="JO20" s="14"/>
      <c r="JP20" s="14"/>
      <c r="JQ20" s="14"/>
      <c r="JR20" s="14"/>
      <c r="JS20" s="14"/>
      <c r="JT20" s="14"/>
      <c r="JU20" s="14"/>
      <c r="JV20" s="14"/>
      <c r="JW20" s="14"/>
      <c r="JX20" s="14"/>
      <c r="JY20" s="14"/>
      <c r="JZ20" s="14"/>
      <c r="KA20" s="14"/>
      <c r="KB20" s="14"/>
      <c r="KC20" s="14"/>
      <c r="KD20" s="14"/>
      <c r="KE20" s="14"/>
      <c r="KF20" s="14"/>
      <c r="KG20" s="14"/>
      <c r="KH20" s="14"/>
      <c r="KI20" s="14"/>
      <c r="KJ20" s="14"/>
      <c r="KK20" s="14"/>
      <c r="KL20" s="14"/>
      <c r="KM20" s="14"/>
      <c r="KN20" s="14"/>
      <c r="KO20" s="14"/>
      <c r="KP20" s="14"/>
      <c r="KQ20" s="14"/>
      <c r="KR20" s="14"/>
      <c r="KS20" s="14"/>
      <c r="KT20" s="14"/>
      <c r="KU20" s="14"/>
      <c r="KV20" s="14"/>
      <c r="KW20" s="14"/>
      <c r="KX20" s="14"/>
      <c r="KY20" s="14"/>
      <c r="KZ20" s="14"/>
      <c r="LA20" s="14"/>
      <c r="LB20" s="14"/>
      <c r="LC20" s="14"/>
      <c r="LD20" s="14"/>
      <c r="LE20" s="14"/>
      <c r="LF20" s="14"/>
      <c r="LG20" s="14"/>
      <c r="LH20" s="14"/>
      <c r="LI20" s="14"/>
      <c r="LJ20" s="14"/>
      <c r="LK20" s="14"/>
      <c r="LL20" s="14"/>
      <c r="LM20" s="14"/>
      <c r="LN20" s="14"/>
      <c r="LO20" s="14"/>
      <c r="LP20" s="14"/>
      <c r="LQ20" s="14"/>
      <c r="LR20" s="14"/>
      <c r="LS20" s="14"/>
      <c r="LT20" s="14"/>
      <c r="LU20" s="14"/>
      <c r="LV20" s="14"/>
      <c r="LW20" s="14"/>
      <c r="LX20" s="14"/>
      <c r="LY20" s="14"/>
      <c r="LZ20" s="14"/>
      <c r="MA20" s="14"/>
      <c r="MB20" s="14"/>
      <c r="MC20" s="14"/>
      <c r="MD20" s="14"/>
      <c r="ME20" s="14"/>
      <c r="MF20" s="14"/>
      <c r="MG20" s="14"/>
      <c r="MH20" s="14"/>
      <c r="MI20" s="14"/>
      <c r="MJ20" s="14"/>
      <c r="MK20" s="14"/>
      <c r="ML20" s="14"/>
      <c r="MM20" s="14"/>
      <c r="MN20" s="14"/>
      <c r="MO20" s="14"/>
      <c r="MP20" s="14"/>
      <c r="MQ20" s="14"/>
      <c r="MR20" s="14"/>
      <c r="MS20" s="14"/>
      <c r="MT20" s="14"/>
      <c r="MU20" s="14"/>
      <c r="MV20" s="14"/>
      <c r="MW20" s="14"/>
      <c r="MX20" s="14"/>
      <c r="MY20" s="14"/>
      <c r="MZ20" s="14"/>
      <c r="NA20" s="14"/>
      <c r="NB20" s="14"/>
      <c r="NC20" s="14"/>
      <c r="ND20" s="14"/>
      <c r="NE20" s="14"/>
      <c r="NF20" s="14"/>
      <c r="NG20" s="14"/>
      <c r="NH20" s="14"/>
      <c r="NI20" s="14"/>
      <c r="NJ20" s="14"/>
      <c r="NK20" s="14"/>
      <c r="NL20" s="14"/>
      <c r="NM20" s="14"/>
      <c r="NN20" s="14"/>
      <c r="NO20" s="14"/>
      <c r="NP20" s="14"/>
      <c r="NQ20" s="14"/>
      <c r="NR20" s="14"/>
      <c r="NS20" s="14"/>
      <c r="NT20" s="14"/>
      <c r="NU20" s="14"/>
      <c r="NV20" s="14"/>
      <c r="NW20" s="14"/>
      <c r="NX20" s="14"/>
      <c r="NY20" s="14"/>
      <c r="NZ20" s="14"/>
      <c r="OA20" s="14"/>
      <c r="OB20" s="14"/>
      <c r="OC20" s="14"/>
      <c r="OD20" s="14"/>
      <c r="OE20" s="14"/>
      <c r="OF20" s="14"/>
      <c r="OG20" s="14"/>
      <c r="OH20" s="14"/>
      <c r="OI20" s="14"/>
      <c r="OJ20" s="14"/>
      <c r="OK20" s="14"/>
      <c r="OL20" s="14"/>
      <c r="OM20" s="14"/>
      <c r="ON20" s="14"/>
      <c r="OO20" s="14"/>
      <c r="OP20" s="14"/>
      <c r="OQ20" s="14"/>
      <c r="OR20" s="14"/>
      <c r="OS20" s="14"/>
      <c r="OT20" s="14"/>
      <c r="OU20" s="14"/>
      <c r="OV20" s="14"/>
      <c r="OW20" s="14"/>
      <c r="OX20" s="14"/>
      <c r="OY20" s="14"/>
      <c r="OZ20" s="14"/>
      <c r="PA20" s="14"/>
      <c r="PB20" s="14"/>
      <c r="PC20" s="14"/>
      <c r="PD20" s="14"/>
      <c r="PE20" s="14"/>
      <c r="PF20" s="14"/>
      <c r="PG20" s="14"/>
      <c r="PH20" s="14"/>
      <c r="PI20" s="14"/>
      <c r="PJ20" s="14"/>
      <c r="PK20" s="14"/>
      <c r="PL20" s="14"/>
      <c r="PM20" s="14"/>
      <c r="PN20" s="14"/>
      <c r="PO20" s="14"/>
      <c r="PP20" s="14"/>
      <c r="PQ20" s="14"/>
      <c r="PR20" s="14"/>
      <c r="PS20" s="14"/>
      <c r="PT20" s="14"/>
      <c r="PU20" s="14"/>
      <c r="PV20" s="14"/>
      <c r="PW20" s="14"/>
      <c r="PX20" s="14"/>
      <c r="PY20" s="14"/>
      <c r="PZ20" s="14"/>
      <c r="QA20" s="14"/>
      <c r="QB20" s="14"/>
      <c r="QC20" s="14"/>
      <c r="QD20" s="14"/>
      <c r="QE20" s="14"/>
      <c r="QF20" s="14"/>
      <c r="QG20" s="14"/>
      <c r="QH20" s="14"/>
      <c r="QI20" s="14"/>
      <c r="QJ20" s="14"/>
      <c r="QK20" s="14"/>
      <c r="QL20" s="14"/>
      <c r="QM20" s="14"/>
      <c r="QN20" s="14"/>
      <c r="QO20" s="14"/>
      <c r="QP20" s="14"/>
      <c r="QQ20" s="14"/>
      <c r="QR20" s="14"/>
      <c r="QS20" s="14"/>
      <c r="QT20" s="14"/>
      <c r="QU20" s="14"/>
      <c r="QV20" s="14"/>
      <c r="QW20" s="14"/>
      <c r="QX20" s="14"/>
      <c r="QY20" s="14"/>
      <c r="QZ20" s="14"/>
      <c r="RA20" s="14"/>
      <c r="RB20" s="14"/>
      <c r="RC20" s="14"/>
      <c r="RD20" s="14"/>
      <c r="RE20" s="14"/>
      <c r="RF20" s="14"/>
      <c r="RG20" s="14"/>
      <c r="RH20" s="14"/>
      <c r="RI20" s="14"/>
      <c r="RJ20" s="14"/>
      <c r="RK20" s="14"/>
      <c r="RL20" s="14"/>
      <c r="RM20" s="14"/>
      <c r="RN20" s="14"/>
      <c r="RO20" s="14"/>
      <c r="RP20" s="14"/>
      <c r="RQ20" s="14"/>
      <c r="RR20" s="14"/>
      <c r="RS20" s="14"/>
      <c r="RT20" s="14"/>
      <c r="RU20" s="14"/>
      <c r="RV20" s="14"/>
      <c r="RW20" s="14"/>
      <c r="RX20" s="14"/>
      <c r="RY20" s="14"/>
      <c r="RZ20" s="14"/>
      <c r="SA20" s="14"/>
      <c r="SB20" s="14"/>
      <c r="SC20" s="14"/>
    </row>
    <row r="21" spans="1:497" ht="27" customHeight="1" x14ac:dyDescent="0.15">
      <c r="A21" s="10">
        <v>2.2000000000000002</v>
      </c>
      <c r="B21" s="11" t="s">
        <v>105</v>
      </c>
      <c r="C21" s="12"/>
      <c r="D21" s="12"/>
      <c r="E21" s="13"/>
      <c r="F21" s="88"/>
      <c r="G21" s="89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  <c r="IR21" s="14"/>
      <c r="IS21" s="14"/>
      <c r="IT21" s="14"/>
      <c r="IU21" s="14"/>
      <c r="IV21" s="14"/>
      <c r="IW21" s="14"/>
      <c r="IX21" s="14"/>
      <c r="IY21" s="14"/>
      <c r="IZ21" s="14"/>
      <c r="JA21" s="14"/>
      <c r="JB21" s="14"/>
      <c r="JC21" s="14"/>
      <c r="JD21" s="14"/>
      <c r="JE21" s="14"/>
      <c r="JF21" s="14"/>
      <c r="JG21" s="14"/>
      <c r="JH21" s="14"/>
      <c r="JI21" s="14"/>
      <c r="JJ21" s="14"/>
      <c r="JK21" s="14"/>
      <c r="JL21" s="14"/>
      <c r="JM21" s="14"/>
      <c r="JN21" s="14"/>
      <c r="JO21" s="14"/>
      <c r="JP21" s="14"/>
      <c r="JQ21" s="14"/>
      <c r="JR21" s="14"/>
      <c r="JS21" s="14"/>
      <c r="JT21" s="14"/>
      <c r="JU21" s="14"/>
      <c r="JV21" s="14"/>
      <c r="JW21" s="14"/>
      <c r="JX21" s="14"/>
      <c r="JY21" s="14"/>
      <c r="JZ21" s="14"/>
      <c r="KA21" s="14"/>
      <c r="KB21" s="14"/>
      <c r="KC21" s="14"/>
      <c r="KD21" s="14"/>
      <c r="KE21" s="14"/>
      <c r="KF21" s="14"/>
      <c r="KG21" s="14"/>
      <c r="KH21" s="14"/>
      <c r="KI21" s="14"/>
      <c r="KJ21" s="14"/>
      <c r="KK21" s="14"/>
      <c r="KL21" s="14"/>
      <c r="KM21" s="14"/>
      <c r="KN21" s="14"/>
      <c r="KO21" s="14"/>
      <c r="KP21" s="14"/>
      <c r="KQ21" s="14"/>
      <c r="KR21" s="14"/>
      <c r="KS21" s="14"/>
      <c r="KT21" s="14"/>
      <c r="KU21" s="14"/>
      <c r="KV21" s="14"/>
      <c r="KW21" s="14"/>
      <c r="KX21" s="14"/>
      <c r="KY21" s="14"/>
      <c r="KZ21" s="14"/>
      <c r="LA21" s="14"/>
      <c r="LB21" s="14"/>
      <c r="LC21" s="14"/>
      <c r="LD21" s="14"/>
      <c r="LE21" s="14"/>
      <c r="LF21" s="14"/>
      <c r="LG21" s="14"/>
      <c r="LH21" s="14"/>
      <c r="LI21" s="14"/>
      <c r="LJ21" s="14"/>
      <c r="LK21" s="14"/>
      <c r="LL21" s="14"/>
      <c r="LM21" s="14"/>
      <c r="LN21" s="14"/>
      <c r="LO21" s="14"/>
      <c r="LP21" s="14"/>
      <c r="LQ21" s="14"/>
      <c r="LR21" s="14"/>
      <c r="LS21" s="14"/>
      <c r="LT21" s="14"/>
      <c r="LU21" s="14"/>
      <c r="LV21" s="14"/>
      <c r="LW21" s="14"/>
      <c r="LX21" s="14"/>
      <c r="LY21" s="14"/>
      <c r="LZ21" s="14"/>
      <c r="MA21" s="14"/>
      <c r="MB21" s="14"/>
      <c r="MC21" s="14"/>
      <c r="MD21" s="14"/>
      <c r="ME21" s="14"/>
      <c r="MF21" s="14"/>
      <c r="MG21" s="14"/>
      <c r="MH21" s="14"/>
      <c r="MI21" s="14"/>
      <c r="MJ21" s="14"/>
      <c r="MK21" s="14"/>
      <c r="ML21" s="14"/>
      <c r="MM21" s="14"/>
      <c r="MN21" s="14"/>
      <c r="MO21" s="14"/>
      <c r="MP21" s="14"/>
      <c r="MQ21" s="14"/>
      <c r="MR21" s="14"/>
      <c r="MS21" s="14"/>
      <c r="MT21" s="14"/>
      <c r="MU21" s="14"/>
      <c r="MV21" s="14"/>
      <c r="MW21" s="14"/>
      <c r="MX21" s="14"/>
      <c r="MY21" s="14"/>
      <c r="MZ21" s="14"/>
      <c r="NA21" s="14"/>
      <c r="NB21" s="14"/>
      <c r="NC21" s="14"/>
      <c r="ND21" s="14"/>
      <c r="NE21" s="14"/>
      <c r="NF21" s="14"/>
      <c r="NG21" s="14"/>
      <c r="NH21" s="14"/>
      <c r="NI21" s="14"/>
      <c r="NJ21" s="14"/>
      <c r="NK21" s="14"/>
      <c r="NL21" s="14"/>
      <c r="NM21" s="14"/>
      <c r="NN21" s="14"/>
      <c r="NO21" s="14"/>
      <c r="NP21" s="14"/>
      <c r="NQ21" s="14"/>
      <c r="NR21" s="14"/>
      <c r="NS21" s="14"/>
      <c r="NT21" s="14"/>
      <c r="NU21" s="14"/>
      <c r="NV21" s="14"/>
      <c r="NW21" s="14"/>
      <c r="NX21" s="14"/>
      <c r="NY21" s="14"/>
      <c r="NZ21" s="14"/>
      <c r="OA21" s="14"/>
      <c r="OB21" s="14"/>
      <c r="OC21" s="14"/>
      <c r="OD21" s="14"/>
      <c r="OE21" s="14"/>
      <c r="OF21" s="14"/>
      <c r="OG21" s="14"/>
      <c r="OH21" s="14"/>
      <c r="OI21" s="14"/>
      <c r="OJ21" s="14"/>
      <c r="OK21" s="14"/>
      <c r="OL21" s="14"/>
      <c r="OM21" s="14"/>
      <c r="ON21" s="14"/>
      <c r="OO21" s="14"/>
      <c r="OP21" s="14"/>
      <c r="OQ21" s="14"/>
      <c r="OR21" s="14"/>
      <c r="OS21" s="14"/>
      <c r="OT21" s="14"/>
      <c r="OU21" s="14"/>
      <c r="OV21" s="14"/>
      <c r="OW21" s="14"/>
      <c r="OX21" s="14"/>
      <c r="OY21" s="14"/>
      <c r="OZ21" s="14"/>
      <c r="PA21" s="14"/>
      <c r="PB21" s="14"/>
      <c r="PC21" s="14"/>
      <c r="PD21" s="14"/>
      <c r="PE21" s="14"/>
      <c r="PF21" s="14"/>
      <c r="PG21" s="14"/>
      <c r="PH21" s="14"/>
      <c r="PI21" s="14"/>
      <c r="PJ21" s="14"/>
      <c r="PK21" s="14"/>
      <c r="PL21" s="14"/>
      <c r="PM21" s="14"/>
      <c r="PN21" s="14"/>
      <c r="PO21" s="14"/>
      <c r="PP21" s="14"/>
      <c r="PQ21" s="14"/>
      <c r="PR21" s="14"/>
      <c r="PS21" s="14"/>
      <c r="PT21" s="14"/>
      <c r="PU21" s="14"/>
      <c r="PV21" s="14"/>
      <c r="PW21" s="14"/>
      <c r="PX21" s="14"/>
      <c r="PY21" s="14"/>
      <c r="PZ21" s="14"/>
      <c r="QA21" s="14"/>
      <c r="QB21" s="14"/>
      <c r="QC21" s="14"/>
      <c r="QD21" s="14"/>
      <c r="QE21" s="14"/>
      <c r="QF21" s="14"/>
      <c r="QG21" s="14"/>
      <c r="QH21" s="14"/>
      <c r="QI21" s="14"/>
      <c r="QJ21" s="14"/>
      <c r="QK21" s="14"/>
      <c r="QL21" s="14"/>
      <c r="QM21" s="14"/>
      <c r="QN21" s="14"/>
      <c r="QO21" s="14"/>
      <c r="QP21" s="14"/>
      <c r="QQ21" s="14"/>
      <c r="QR21" s="14"/>
      <c r="QS21" s="14"/>
      <c r="QT21" s="14"/>
      <c r="QU21" s="14"/>
      <c r="QV21" s="14"/>
      <c r="QW21" s="14"/>
      <c r="QX21" s="14"/>
      <c r="QY21" s="14"/>
      <c r="QZ21" s="14"/>
      <c r="RA21" s="14"/>
      <c r="RB21" s="14"/>
      <c r="RC21" s="14"/>
      <c r="RD21" s="14"/>
      <c r="RE21" s="14"/>
      <c r="RF21" s="14"/>
      <c r="RG21" s="14"/>
      <c r="RH21" s="14"/>
      <c r="RI21" s="14"/>
      <c r="RJ21" s="14"/>
      <c r="RK21" s="14"/>
      <c r="RL21" s="14"/>
      <c r="RM21" s="14"/>
      <c r="RN21" s="14"/>
      <c r="RO21" s="14"/>
      <c r="RP21" s="14"/>
      <c r="RQ21" s="14"/>
      <c r="RR21" s="14"/>
      <c r="RS21" s="14"/>
      <c r="RT21" s="14"/>
      <c r="RU21" s="14"/>
      <c r="RV21" s="14"/>
      <c r="RW21" s="14"/>
      <c r="RX21" s="14"/>
      <c r="RY21" s="14"/>
      <c r="RZ21" s="14"/>
      <c r="SA21" s="14"/>
      <c r="SB21" s="14"/>
      <c r="SC21" s="14"/>
    </row>
    <row r="22" spans="1:497" ht="27" customHeight="1" x14ac:dyDescent="0.15">
      <c r="A22" s="10">
        <v>2.2999999999999998</v>
      </c>
      <c r="B22" s="11" t="s">
        <v>106</v>
      </c>
      <c r="C22" s="12"/>
      <c r="D22" s="12"/>
      <c r="E22" s="13"/>
      <c r="F22" s="88"/>
      <c r="G22" s="89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14"/>
      <c r="IM22" s="14"/>
      <c r="IN22" s="14"/>
      <c r="IO22" s="14"/>
      <c r="IP22" s="14"/>
      <c r="IQ22" s="14"/>
      <c r="IR22" s="14"/>
      <c r="IS22" s="14"/>
      <c r="IT22" s="14"/>
      <c r="IU22" s="14"/>
      <c r="IV22" s="14"/>
      <c r="IW22" s="14"/>
      <c r="IX22" s="14"/>
      <c r="IY22" s="14"/>
      <c r="IZ22" s="14"/>
      <c r="JA22" s="14"/>
      <c r="JB22" s="14"/>
      <c r="JC22" s="14"/>
      <c r="JD22" s="14"/>
      <c r="JE22" s="14"/>
      <c r="JF22" s="14"/>
      <c r="JG22" s="14"/>
      <c r="JH22" s="14"/>
      <c r="JI22" s="14"/>
      <c r="JJ22" s="14"/>
      <c r="JK22" s="14"/>
      <c r="JL22" s="14"/>
      <c r="JM22" s="14"/>
      <c r="JN22" s="14"/>
      <c r="JO22" s="14"/>
      <c r="JP22" s="14"/>
      <c r="JQ22" s="14"/>
      <c r="JR22" s="14"/>
      <c r="JS22" s="14"/>
      <c r="JT22" s="14"/>
      <c r="JU22" s="14"/>
      <c r="JV22" s="14"/>
      <c r="JW22" s="14"/>
      <c r="JX22" s="14"/>
      <c r="JY22" s="14"/>
      <c r="JZ22" s="14"/>
      <c r="KA22" s="14"/>
      <c r="KB22" s="14"/>
      <c r="KC22" s="14"/>
      <c r="KD22" s="14"/>
      <c r="KE22" s="14"/>
      <c r="KF22" s="14"/>
      <c r="KG22" s="14"/>
      <c r="KH22" s="14"/>
      <c r="KI22" s="14"/>
      <c r="KJ22" s="14"/>
      <c r="KK22" s="14"/>
      <c r="KL22" s="14"/>
      <c r="KM22" s="14"/>
      <c r="KN22" s="14"/>
      <c r="KO22" s="14"/>
      <c r="KP22" s="14"/>
      <c r="KQ22" s="14"/>
      <c r="KR22" s="14"/>
      <c r="KS22" s="14"/>
      <c r="KT22" s="14"/>
      <c r="KU22" s="14"/>
      <c r="KV22" s="14"/>
      <c r="KW22" s="14"/>
      <c r="KX22" s="14"/>
      <c r="KY22" s="14"/>
      <c r="KZ22" s="14"/>
      <c r="LA22" s="14"/>
      <c r="LB22" s="14"/>
      <c r="LC22" s="14"/>
      <c r="LD22" s="14"/>
      <c r="LE22" s="14"/>
      <c r="LF22" s="14"/>
      <c r="LG22" s="14"/>
      <c r="LH22" s="14"/>
      <c r="LI22" s="14"/>
      <c r="LJ22" s="14"/>
      <c r="LK22" s="14"/>
      <c r="LL22" s="14"/>
      <c r="LM22" s="14"/>
      <c r="LN22" s="14"/>
      <c r="LO22" s="14"/>
      <c r="LP22" s="14"/>
      <c r="LQ22" s="14"/>
      <c r="LR22" s="14"/>
      <c r="LS22" s="14"/>
      <c r="LT22" s="14"/>
      <c r="LU22" s="14"/>
      <c r="LV22" s="14"/>
      <c r="LW22" s="14"/>
      <c r="LX22" s="14"/>
      <c r="LY22" s="14"/>
      <c r="LZ22" s="14"/>
      <c r="MA22" s="14"/>
      <c r="MB22" s="14"/>
      <c r="MC22" s="14"/>
      <c r="MD22" s="14"/>
      <c r="ME22" s="14"/>
      <c r="MF22" s="14"/>
      <c r="MG22" s="14"/>
      <c r="MH22" s="14"/>
      <c r="MI22" s="14"/>
      <c r="MJ22" s="14"/>
      <c r="MK22" s="14"/>
      <c r="ML22" s="14"/>
      <c r="MM22" s="14"/>
      <c r="MN22" s="14"/>
      <c r="MO22" s="14"/>
      <c r="MP22" s="14"/>
      <c r="MQ22" s="14"/>
      <c r="MR22" s="14"/>
      <c r="MS22" s="14"/>
      <c r="MT22" s="14"/>
      <c r="MU22" s="14"/>
      <c r="MV22" s="14"/>
      <c r="MW22" s="14"/>
      <c r="MX22" s="14"/>
      <c r="MY22" s="14"/>
      <c r="MZ22" s="14"/>
      <c r="NA22" s="14"/>
      <c r="NB22" s="14"/>
      <c r="NC22" s="14"/>
      <c r="ND22" s="14"/>
      <c r="NE22" s="14"/>
      <c r="NF22" s="14"/>
      <c r="NG22" s="14"/>
      <c r="NH22" s="14"/>
      <c r="NI22" s="14"/>
      <c r="NJ22" s="14"/>
      <c r="NK22" s="14"/>
      <c r="NL22" s="14"/>
      <c r="NM22" s="14"/>
      <c r="NN22" s="14"/>
      <c r="NO22" s="14"/>
      <c r="NP22" s="14"/>
      <c r="NQ22" s="14"/>
      <c r="NR22" s="14"/>
      <c r="NS22" s="14"/>
      <c r="NT22" s="14"/>
      <c r="NU22" s="14"/>
      <c r="NV22" s="14"/>
      <c r="NW22" s="14"/>
      <c r="NX22" s="14"/>
      <c r="NY22" s="14"/>
      <c r="NZ22" s="14"/>
      <c r="OA22" s="14"/>
      <c r="OB22" s="14"/>
      <c r="OC22" s="14"/>
      <c r="OD22" s="14"/>
      <c r="OE22" s="14"/>
      <c r="OF22" s="14"/>
      <c r="OG22" s="14"/>
      <c r="OH22" s="14"/>
      <c r="OI22" s="14"/>
      <c r="OJ22" s="14"/>
      <c r="OK22" s="14"/>
      <c r="OL22" s="14"/>
      <c r="OM22" s="14"/>
      <c r="ON22" s="14"/>
      <c r="OO22" s="14"/>
      <c r="OP22" s="14"/>
      <c r="OQ22" s="14"/>
      <c r="OR22" s="14"/>
      <c r="OS22" s="14"/>
      <c r="OT22" s="14"/>
      <c r="OU22" s="14"/>
      <c r="OV22" s="14"/>
      <c r="OW22" s="14"/>
      <c r="OX22" s="14"/>
      <c r="OY22" s="14"/>
      <c r="OZ22" s="14"/>
      <c r="PA22" s="14"/>
      <c r="PB22" s="14"/>
      <c r="PC22" s="14"/>
      <c r="PD22" s="14"/>
      <c r="PE22" s="14"/>
      <c r="PF22" s="14"/>
      <c r="PG22" s="14"/>
      <c r="PH22" s="14"/>
      <c r="PI22" s="14"/>
      <c r="PJ22" s="14"/>
      <c r="PK22" s="14"/>
      <c r="PL22" s="14"/>
      <c r="PM22" s="14"/>
      <c r="PN22" s="14"/>
      <c r="PO22" s="14"/>
      <c r="PP22" s="14"/>
      <c r="PQ22" s="14"/>
      <c r="PR22" s="14"/>
      <c r="PS22" s="14"/>
      <c r="PT22" s="14"/>
      <c r="PU22" s="14"/>
      <c r="PV22" s="14"/>
      <c r="PW22" s="14"/>
      <c r="PX22" s="14"/>
      <c r="PY22" s="14"/>
      <c r="PZ22" s="14"/>
      <c r="QA22" s="14"/>
      <c r="QB22" s="14"/>
      <c r="QC22" s="14"/>
      <c r="QD22" s="14"/>
      <c r="QE22" s="14"/>
      <c r="QF22" s="14"/>
      <c r="QG22" s="14"/>
      <c r="QH22" s="14"/>
      <c r="QI22" s="14"/>
      <c r="QJ22" s="14"/>
      <c r="QK22" s="14"/>
      <c r="QL22" s="14"/>
      <c r="QM22" s="14"/>
      <c r="QN22" s="14"/>
      <c r="QO22" s="14"/>
      <c r="QP22" s="14"/>
      <c r="QQ22" s="14"/>
      <c r="QR22" s="14"/>
      <c r="QS22" s="14"/>
      <c r="QT22" s="14"/>
      <c r="QU22" s="14"/>
      <c r="QV22" s="14"/>
      <c r="QW22" s="14"/>
      <c r="QX22" s="14"/>
      <c r="QY22" s="14"/>
      <c r="QZ22" s="14"/>
      <c r="RA22" s="14"/>
      <c r="RB22" s="14"/>
      <c r="RC22" s="14"/>
      <c r="RD22" s="14"/>
      <c r="RE22" s="14"/>
      <c r="RF22" s="14"/>
      <c r="RG22" s="14"/>
      <c r="RH22" s="14"/>
      <c r="RI22" s="14"/>
      <c r="RJ22" s="14"/>
      <c r="RK22" s="14"/>
      <c r="RL22" s="14"/>
      <c r="RM22" s="14"/>
      <c r="RN22" s="14"/>
      <c r="RO22" s="14"/>
      <c r="RP22" s="14"/>
      <c r="RQ22" s="14"/>
      <c r="RR22" s="14"/>
      <c r="RS22" s="14"/>
      <c r="RT22" s="14"/>
      <c r="RU22" s="14"/>
      <c r="RV22" s="14"/>
      <c r="RW22" s="14"/>
      <c r="RX22" s="14"/>
      <c r="RY22" s="14"/>
      <c r="RZ22" s="14"/>
      <c r="SA22" s="14"/>
      <c r="SB22" s="14"/>
      <c r="SC22" s="14"/>
    </row>
    <row r="23" spans="1:497" ht="27" customHeight="1" x14ac:dyDescent="0.15">
      <c r="A23" s="10">
        <v>2.4</v>
      </c>
      <c r="B23" s="11" t="s">
        <v>107</v>
      </c>
      <c r="C23" s="12"/>
      <c r="D23" s="12"/>
      <c r="E23" s="13"/>
      <c r="F23" s="97"/>
      <c r="G23" s="89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14"/>
      <c r="IM23" s="14"/>
      <c r="IN23" s="14"/>
      <c r="IO23" s="14"/>
      <c r="IP23" s="14"/>
      <c r="IQ23" s="14"/>
      <c r="IR23" s="14"/>
      <c r="IS23" s="14"/>
      <c r="IT23" s="14"/>
      <c r="IU23" s="14"/>
      <c r="IV23" s="14"/>
      <c r="IW23" s="14"/>
      <c r="IX23" s="14"/>
      <c r="IY23" s="14"/>
      <c r="IZ23" s="14"/>
      <c r="JA23" s="14"/>
      <c r="JB23" s="14"/>
      <c r="JC23" s="14"/>
      <c r="JD23" s="14"/>
      <c r="JE23" s="14"/>
      <c r="JF23" s="14"/>
      <c r="JG23" s="14"/>
      <c r="JH23" s="14"/>
      <c r="JI23" s="14"/>
      <c r="JJ23" s="14"/>
      <c r="JK23" s="14"/>
      <c r="JL23" s="14"/>
      <c r="JM23" s="14"/>
      <c r="JN23" s="14"/>
      <c r="JO23" s="14"/>
      <c r="JP23" s="14"/>
      <c r="JQ23" s="14"/>
      <c r="JR23" s="14"/>
      <c r="JS23" s="14"/>
      <c r="JT23" s="14"/>
      <c r="JU23" s="14"/>
      <c r="JV23" s="14"/>
      <c r="JW23" s="14"/>
      <c r="JX23" s="14"/>
      <c r="JY23" s="14"/>
      <c r="JZ23" s="14"/>
      <c r="KA23" s="14"/>
      <c r="KB23" s="14"/>
      <c r="KC23" s="14"/>
      <c r="KD23" s="14"/>
      <c r="KE23" s="14"/>
      <c r="KF23" s="14"/>
      <c r="KG23" s="14"/>
      <c r="KH23" s="14"/>
      <c r="KI23" s="14"/>
      <c r="KJ23" s="14"/>
      <c r="KK23" s="14"/>
      <c r="KL23" s="14"/>
      <c r="KM23" s="14"/>
      <c r="KN23" s="14"/>
      <c r="KO23" s="14"/>
      <c r="KP23" s="14"/>
      <c r="KQ23" s="14"/>
      <c r="KR23" s="14"/>
      <c r="KS23" s="14"/>
      <c r="KT23" s="14"/>
      <c r="KU23" s="14"/>
      <c r="KV23" s="14"/>
      <c r="KW23" s="14"/>
      <c r="KX23" s="14"/>
      <c r="KY23" s="14"/>
      <c r="KZ23" s="14"/>
      <c r="LA23" s="14"/>
      <c r="LB23" s="14"/>
      <c r="LC23" s="14"/>
      <c r="LD23" s="14"/>
      <c r="LE23" s="14"/>
      <c r="LF23" s="14"/>
      <c r="LG23" s="14"/>
      <c r="LH23" s="14"/>
      <c r="LI23" s="14"/>
      <c r="LJ23" s="14"/>
      <c r="LK23" s="14"/>
      <c r="LL23" s="14"/>
      <c r="LM23" s="14"/>
      <c r="LN23" s="14"/>
      <c r="LO23" s="14"/>
      <c r="LP23" s="14"/>
      <c r="LQ23" s="14"/>
      <c r="LR23" s="14"/>
      <c r="LS23" s="14"/>
      <c r="LT23" s="14"/>
      <c r="LU23" s="14"/>
      <c r="LV23" s="14"/>
      <c r="LW23" s="14"/>
      <c r="LX23" s="14"/>
      <c r="LY23" s="14"/>
      <c r="LZ23" s="14"/>
      <c r="MA23" s="14"/>
      <c r="MB23" s="14"/>
      <c r="MC23" s="14"/>
      <c r="MD23" s="14"/>
      <c r="ME23" s="14"/>
      <c r="MF23" s="14"/>
      <c r="MG23" s="14"/>
      <c r="MH23" s="14"/>
      <c r="MI23" s="14"/>
      <c r="MJ23" s="14"/>
      <c r="MK23" s="14"/>
      <c r="ML23" s="14"/>
      <c r="MM23" s="14"/>
      <c r="MN23" s="14"/>
      <c r="MO23" s="14"/>
      <c r="MP23" s="14"/>
      <c r="MQ23" s="14"/>
      <c r="MR23" s="14"/>
      <c r="MS23" s="14"/>
      <c r="MT23" s="14"/>
      <c r="MU23" s="14"/>
      <c r="MV23" s="14"/>
      <c r="MW23" s="14"/>
      <c r="MX23" s="14"/>
      <c r="MY23" s="14"/>
      <c r="MZ23" s="14"/>
      <c r="NA23" s="14"/>
      <c r="NB23" s="14"/>
      <c r="NC23" s="14"/>
      <c r="ND23" s="14"/>
      <c r="NE23" s="14"/>
      <c r="NF23" s="14"/>
      <c r="NG23" s="14"/>
      <c r="NH23" s="14"/>
      <c r="NI23" s="14"/>
      <c r="NJ23" s="14"/>
      <c r="NK23" s="14"/>
      <c r="NL23" s="14"/>
      <c r="NM23" s="14"/>
      <c r="NN23" s="14"/>
      <c r="NO23" s="14"/>
      <c r="NP23" s="14"/>
      <c r="NQ23" s="14"/>
      <c r="NR23" s="14"/>
      <c r="NS23" s="14"/>
      <c r="NT23" s="14"/>
      <c r="NU23" s="14"/>
      <c r="NV23" s="14"/>
      <c r="NW23" s="14"/>
      <c r="NX23" s="14"/>
      <c r="NY23" s="14"/>
      <c r="NZ23" s="14"/>
      <c r="OA23" s="14"/>
      <c r="OB23" s="14"/>
      <c r="OC23" s="14"/>
      <c r="OD23" s="14"/>
      <c r="OE23" s="14"/>
      <c r="OF23" s="14"/>
      <c r="OG23" s="14"/>
      <c r="OH23" s="14"/>
      <c r="OI23" s="14"/>
      <c r="OJ23" s="14"/>
      <c r="OK23" s="14"/>
      <c r="OL23" s="14"/>
      <c r="OM23" s="14"/>
      <c r="ON23" s="14"/>
      <c r="OO23" s="14"/>
      <c r="OP23" s="14"/>
      <c r="OQ23" s="14"/>
      <c r="OR23" s="14"/>
      <c r="OS23" s="14"/>
      <c r="OT23" s="14"/>
      <c r="OU23" s="14"/>
      <c r="OV23" s="14"/>
      <c r="OW23" s="14"/>
      <c r="OX23" s="14"/>
      <c r="OY23" s="14"/>
      <c r="OZ23" s="14"/>
      <c r="PA23" s="14"/>
      <c r="PB23" s="14"/>
      <c r="PC23" s="14"/>
      <c r="PD23" s="14"/>
      <c r="PE23" s="14"/>
      <c r="PF23" s="14"/>
      <c r="PG23" s="14"/>
      <c r="PH23" s="14"/>
      <c r="PI23" s="14"/>
      <c r="PJ23" s="14"/>
      <c r="PK23" s="14"/>
      <c r="PL23" s="14"/>
      <c r="PM23" s="14"/>
      <c r="PN23" s="14"/>
      <c r="PO23" s="14"/>
      <c r="PP23" s="14"/>
      <c r="PQ23" s="14"/>
      <c r="PR23" s="14"/>
      <c r="PS23" s="14"/>
      <c r="PT23" s="14"/>
      <c r="PU23" s="14"/>
      <c r="PV23" s="14"/>
      <c r="PW23" s="14"/>
      <c r="PX23" s="14"/>
      <c r="PY23" s="14"/>
      <c r="PZ23" s="14"/>
      <c r="QA23" s="14"/>
      <c r="QB23" s="14"/>
      <c r="QC23" s="14"/>
      <c r="QD23" s="14"/>
      <c r="QE23" s="14"/>
      <c r="QF23" s="14"/>
      <c r="QG23" s="14"/>
      <c r="QH23" s="14"/>
      <c r="QI23" s="14"/>
      <c r="QJ23" s="14"/>
      <c r="QK23" s="14"/>
      <c r="QL23" s="14"/>
      <c r="QM23" s="14"/>
      <c r="QN23" s="14"/>
      <c r="QO23" s="14"/>
      <c r="QP23" s="14"/>
      <c r="QQ23" s="14"/>
      <c r="QR23" s="14"/>
      <c r="QS23" s="14"/>
      <c r="QT23" s="14"/>
      <c r="QU23" s="14"/>
      <c r="QV23" s="14"/>
      <c r="QW23" s="14"/>
      <c r="QX23" s="14"/>
      <c r="QY23" s="14"/>
      <c r="QZ23" s="14"/>
      <c r="RA23" s="14"/>
      <c r="RB23" s="14"/>
      <c r="RC23" s="14"/>
      <c r="RD23" s="14"/>
      <c r="RE23" s="14"/>
      <c r="RF23" s="14"/>
      <c r="RG23" s="14"/>
      <c r="RH23" s="14"/>
      <c r="RI23" s="14"/>
      <c r="RJ23" s="14"/>
      <c r="RK23" s="14"/>
      <c r="RL23" s="14"/>
      <c r="RM23" s="14"/>
      <c r="RN23" s="14"/>
      <c r="RO23" s="14"/>
      <c r="RP23" s="14"/>
      <c r="RQ23" s="14"/>
      <c r="RR23" s="14"/>
      <c r="RS23" s="14"/>
      <c r="RT23" s="14"/>
      <c r="RU23" s="14"/>
      <c r="RV23" s="14"/>
      <c r="RW23" s="14"/>
      <c r="RX23" s="14"/>
      <c r="RY23" s="14"/>
      <c r="RZ23" s="14"/>
      <c r="SA23" s="14"/>
      <c r="SB23" s="14"/>
      <c r="SC23" s="14"/>
    </row>
    <row r="24" spans="1:497" ht="27" customHeight="1" thickTop="1" thickBot="1" x14ac:dyDescent="0.2">
      <c r="A24" s="10">
        <v>2.5</v>
      </c>
      <c r="B24" s="11" t="s">
        <v>108</v>
      </c>
      <c r="C24" s="12"/>
      <c r="D24" s="12"/>
      <c r="E24" s="95"/>
      <c r="F24" s="93"/>
      <c r="G24" s="96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  <c r="IO24" s="14"/>
      <c r="IP24" s="14"/>
      <c r="IQ24" s="14"/>
      <c r="IR24" s="14"/>
      <c r="IS24" s="14"/>
      <c r="IT24" s="14"/>
      <c r="IU24" s="14"/>
      <c r="IV24" s="14"/>
      <c r="IW24" s="14"/>
      <c r="IX24" s="14"/>
      <c r="IY24" s="14"/>
      <c r="IZ24" s="14"/>
      <c r="JA24" s="14"/>
      <c r="JB24" s="14"/>
      <c r="JC24" s="14"/>
      <c r="JD24" s="14"/>
      <c r="JE24" s="14"/>
      <c r="JF24" s="14"/>
      <c r="JG24" s="14"/>
      <c r="JH24" s="14"/>
      <c r="JI24" s="14"/>
      <c r="JJ24" s="14"/>
      <c r="JK24" s="14"/>
      <c r="JL24" s="14"/>
      <c r="JM24" s="14"/>
      <c r="JN24" s="14"/>
      <c r="JO24" s="14"/>
      <c r="JP24" s="14"/>
      <c r="JQ24" s="14"/>
      <c r="JR24" s="14"/>
      <c r="JS24" s="14"/>
      <c r="JT24" s="14"/>
      <c r="JU24" s="14"/>
      <c r="JV24" s="14"/>
      <c r="JW24" s="14"/>
      <c r="JX24" s="14"/>
      <c r="JY24" s="14"/>
      <c r="JZ24" s="14"/>
      <c r="KA24" s="14"/>
      <c r="KB24" s="14"/>
      <c r="KC24" s="14"/>
      <c r="KD24" s="14"/>
      <c r="KE24" s="14"/>
      <c r="KF24" s="14"/>
      <c r="KG24" s="14"/>
      <c r="KH24" s="14"/>
      <c r="KI24" s="14"/>
      <c r="KJ24" s="14"/>
      <c r="KK24" s="14"/>
      <c r="KL24" s="14"/>
      <c r="KM24" s="14"/>
      <c r="KN24" s="14"/>
      <c r="KO24" s="14"/>
      <c r="KP24" s="14"/>
      <c r="KQ24" s="14"/>
      <c r="KR24" s="14"/>
      <c r="KS24" s="14"/>
      <c r="KT24" s="14"/>
      <c r="KU24" s="14"/>
      <c r="KV24" s="14"/>
      <c r="KW24" s="14"/>
      <c r="KX24" s="14"/>
      <c r="KY24" s="14"/>
      <c r="KZ24" s="14"/>
      <c r="LA24" s="14"/>
      <c r="LB24" s="14"/>
      <c r="LC24" s="14"/>
      <c r="LD24" s="14"/>
      <c r="LE24" s="14"/>
      <c r="LF24" s="14"/>
      <c r="LG24" s="14"/>
      <c r="LH24" s="14"/>
      <c r="LI24" s="14"/>
      <c r="LJ24" s="14"/>
      <c r="LK24" s="14"/>
      <c r="LL24" s="14"/>
      <c r="LM24" s="14"/>
      <c r="LN24" s="14"/>
      <c r="LO24" s="14"/>
      <c r="LP24" s="14"/>
      <c r="LQ24" s="14"/>
      <c r="LR24" s="14"/>
      <c r="LS24" s="14"/>
      <c r="LT24" s="14"/>
      <c r="LU24" s="14"/>
      <c r="LV24" s="14"/>
      <c r="LW24" s="14"/>
      <c r="LX24" s="14"/>
      <c r="LY24" s="14"/>
      <c r="LZ24" s="14"/>
      <c r="MA24" s="14"/>
      <c r="MB24" s="14"/>
      <c r="MC24" s="14"/>
      <c r="MD24" s="14"/>
      <c r="ME24" s="14"/>
      <c r="MF24" s="14"/>
      <c r="MG24" s="14"/>
      <c r="MH24" s="14"/>
      <c r="MI24" s="14"/>
      <c r="MJ24" s="14"/>
      <c r="MK24" s="14"/>
      <c r="ML24" s="14"/>
      <c r="MM24" s="14"/>
      <c r="MN24" s="14"/>
      <c r="MO24" s="14"/>
      <c r="MP24" s="14"/>
      <c r="MQ24" s="14"/>
      <c r="MR24" s="14"/>
      <c r="MS24" s="14"/>
      <c r="MT24" s="14"/>
      <c r="MU24" s="14"/>
      <c r="MV24" s="14"/>
      <c r="MW24" s="14"/>
      <c r="MX24" s="14"/>
      <c r="MY24" s="14"/>
      <c r="MZ24" s="14"/>
      <c r="NA24" s="14"/>
      <c r="NB24" s="14"/>
      <c r="NC24" s="14"/>
      <c r="ND24" s="14"/>
      <c r="NE24" s="14"/>
      <c r="NF24" s="14"/>
      <c r="NG24" s="14"/>
      <c r="NH24" s="14"/>
      <c r="NI24" s="14"/>
      <c r="NJ24" s="14"/>
      <c r="NK24" s="14"/>
      <c r="NL24" s="14"/>
      <c r="NM24" s="14"/>
      <c r="NN24" s="14"/>
      <c r="NO24" s="14"/>
      <c r="NP24" s="14"/>
      <c r="NQ24" s="14"/>
      <c r="NR24" s="14"/>
      <c r="NS24" s="14"/>
      <c r="NT24" s="14"/>
      <c r="NU24" s="14"/>
      <c r="NV24" s="14"/>
      <c r="NW24" s="14"/>
      <c r="NX24" s="14"/>
      <c r="NY24" s="14"/>
      <c r="NZ24" s="14"/>
      <c r="OA24" s="14"/>
      <c r="OB24" s="14"/>
      <c r="OC24" s="14"/>
      <c r="OD24" s="14"/>
      <c r="OE24" s="14"/>
      <c r="OF24" s="14"/>
      <c r="OG24" s="14"/>
      <c r="OH24" s="14"/>
      <c r="OI24" s="14"/>
      <c r="OJ24" s="14"/>
      <c r="OK24" s="14"/>
      <c r="OL24" s="14"/>
      <c r="OM24" s="14"/>
      <c r="ON24" s="14"/>
      <c r="OO24" s="14"/>
      <c r="OP24" s="14"/>
      <c r="OQ24" s="14"/>
      <c r="OR24" s="14"/>
      <c r="OS24" s="14"/>
      <c r="OT24" s="14"/>
      <c r="OU24" s="14"/>
      <c r="OV24" s="14"/>
      <c r="OW24" s="14"/>
      <c r="OX24" s="14"/>
      <c r="OY24" s="14"/>
      <c r="OZ24" s="14"/>
      <c r="PA24" s="14"/>
      <c r="PB24" s="14"/>
      <c r="PC24" s="14"/>
      <c r="PD24" s="14"/>
      <c r="PE24" s="14"/>
      <c r="PF24" s="14"/>
      <c r="PG24" s="14"/>
      <c r="PH24" s="14"/>
      <c r="PI24" s="14"/>
      <c r="PJ24" s="14"/>
      <c r="PK24" s="14"/>
      <c r="PL24" s="14"/>
      <c r="PM24" s="14"/>
      <c r="PN24" s="14"/>
      <c r="PO24" s="14"/>
      <c r="PP24" s="14"/>
      <c r="PQ24" s="14"/>
      <c r="PR24" s="14"/>
      <c r="PS24" s="14"/>
      <c r="PT24" s="14"/>
      <c r="PU24" s="14"/>
      <c r="PV24" s="14"/>
      <c r="PW24" s="14"/>
      <c r="PX24" s="14"/>
      <c r="PY24" s="14"/>
      <c r="PZ24" s="14"/>
      <c r="QA24" s="14"/>
      <c r="QB24" s="14"/>
      <c r="QC24" s="14"/>
      <c r="QD24" s="14"/>
      <c r="QE24" s="14"/>
      <c r="QF24" s="14"/>
      <c r="QG24" s="14"/>
      <c r="QH24" s="14"/>
      <c r="QI24" s="14"/>
      <c r="QJ24" s="14"/>
      <c r="QK24" s="14"/>
      <c r="QL24" s="14"/>
      <c r="QM24" s="14"/>
      <c r="QN24" s="14"/>
      <c r="QO24" s="14"/>
      <c r="QP24" s="14"/>
      <c r="QQ24" s="14"/>
      <c r="QR24" s="14"/>
      <c r="QS24" s="14"/>
      <c r="QT24" s="14"/>
      <c r="QU24" s="14"/>
      <c r="QV24" s="14"/>
      <c r="QW24" s="14"/>
      <c r="QX24" s="14"/>
      <c r="QY24" s="14"/>
      <c r="QZ24" s="14"/>
      <c r="RA24" s="14"/>
      <c r="RB24" s="14"/>
      <c r="RC24" s="14"/>
      <c r="RD24" s="14"/>
      <c r="RE24" s="14"/>
      <c r="RF24" s="14"/>
      <c r="RG24" s="14"/>
      <c r="RH24" s="14"/>
      <c r="RI24" s="14"/>
      <c r="RJ24" s="14"/>
      <c r="RK24" s="14"/>
      <c r="RL24" s="14"/>
      <c r="RM24" s="14"/>
      <c r="RN24" s="14"/>
      <c r="RO24" s="14"/>
      <c r="RP24" s="14"/>
      <c r="RQ24" s="14"/>
      <c r="RR24" s="14"/>
      <c r="RS24" s="14"/>
      <c r="RT24" s="14"/>
      <c r="RU24" s="14"/>
      <c r="RV24" s="14"/>
      <c r="RW24" s="14"/>
      <c r="RX24" s="14"/>
      <c r="RY24" s="14"/>
      <c r="RZ24" s="14"/>
      <c r="SA24" s="14"/>
      <c r="SB24" s="14"/>
      <c r="SC24" s="14"/>
    </row>
    <row r="25" spans="1:497" ht="27" customHeight="1" thickTop="1" thickBot="1" x14ac:dyDescent="0.2">
      <c r="A25" s="129" t="s">
        <v>109</v>
      </c>
      <c r="B25" s="130"/>
      <c r="C25" s="15"/>
      <c r="D25" s="15"/>
      <c r="E25" s="16"/>
      <c r="F25" s="98"/>
      <c r="G25" s="91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  <c r="IP25" s="14"/>
      <c r="IQ25" s="14"/>
      <c r="IR25" s="14"/>
      <c r="IS25" s="14"/>
      <c r="IT25" s="14"/>
      <c r="IU25" s="14"/>
      <c r="IV25" s="14"/>
      <c r="IW25" s="14"/>
      <c r="IX25" s="14"/>
      <c r="IY25" s="14"/>
      <c r="IZ25" s="14"/>
      <c r="JA25" s="14"/>
      <c r="JB25" s="14"/>
      <c r="JC25" s="14"/>
      <c r="JD25" s="14"/>
      <c r="JE25" s="14"/>
      <c r="JF25" s="14"/>
      <c r="JG25" s="14"/>
      <c r="JH25" s="14"/>
      <c r="JI25" s="14"/>
      <c r="JJ25" s="14"/>
      <c r="JK25" s="14"/>
      <c r="JL25" s="14"/>
      <c r="JM25" s="14"/>
      <c r="JN25" s="14"/>
      <c r="JO25" s="14"/>
      <c r="JP25" s="14"/>
      <c r="JQ25" s="14"/>
      <c r="JR25" s="14"/>
      <c r="JS25" s="14"/>
      <c r="JT25" s="14"/>
      <c r="JU25" s="14"/>
      <c r="JV25" s="14"/>
      <c r="JW25" s="14"/>
      <c r="JX25" s="14"/>
      <c r="JY25" s="14"/>
      <c r="JZ25" s="14"/>
      <c r="KA25" s="14"/>
      <c r="KB25" s="14"/>
      <c r="KC25" s="14"/>
      <c r="KD25" s="14"/>
      <c r="KE25" s="14"/>
      <c r="KF25" s="14"/>
      <c r="KG25" s="14"/>
      <c r="KH25" s="14"/>
      <c r="KI25" s="14"/>
      <c r="KJ25" s="14"/>
      <c r="KK25" s="14"/>
      <c r="KL25" s="14"/>
      <c r="KM25" s="14"/>
      <c r="KN25" s="14"/>
      <c r="KO25" s="14"/>
      <c r="KP25" s="14"/>
      <c r="KQ25" s="14"/>
      <c r="KR25" s="14"/>
      <c r="KS25" s="14"/>
      <c r="KT25" s="14"/>
      <c r="KU25" s="14"/>
      <c r="KV25" s="14"/>
      <c r="KW25" s="14"/>
      <c r="KX25" s="14"/>
      <c r="KY25" s="14"/>
      <c r="KZ25" s="14"/>
      <c r="LA25" s="14"/>
      <c r="LB25" s="14"/>
      <c r="LC25" s="14"/>
      <c r="LD25" s="14"/>
      <c r="LE25" s="14"/>
      <c r="LF25" s="14"/>
      <c r="LG25" s="14"/>
      <c r="LH25" s="14"/>
      <c r="LI25" s="14"/>
      <c r="LJ25" s="14"/>
      <c r="LK25" s="14"/>
      <c r="LL25" s="14"/>
      <c r="LM25" s="14"/>
      <c r="LN25" s="14"/>
      <c r="LO25" s="14"/>
      <c r="LP25" s="14"/>
      <c r="LQ25" s="14"/>
      <c r="LR25" s="14"/>
      <c r="LS25" s="14"/>
      <c r="LT25" s="14"/>
      <c r="LU25" s="14"/>
      <c r="LV25" s="14"/>
      <c r="LW25" s="14"/>
      <c r="LX25" s="14"/>
      <c r="LY25" s="14"/>
      <c r="LZ25" s="14"/>
      <c r="MA25" s="14"/>
      <c r="MB25" s="14"/>
      <c r="MC25" s="14"/>
      <c r="MD25" s="14"/>
      <c r="ME25" s="14"/>
      <c r="MF25" s="14"/>
      <c r="MG25" s="14"/>
      <c r="MH25" s="14"/>
      <c r="MI25" s="14"/>
      <c r="MJ25" s="14"/>
      <c r="MK25" s="14"/>
      <c r="ML25" s="14"/>
      <c r="MM25" s="14"/>
      <c r="MN25" s="14"/>
      <c r="MO25" s="14"/>
      <c r="MP25" s="14"/>
      <c r="MQ25" s="14"/>
      <c r="MR25" s="14"/>
      <c r="MS25" s="14"/>
      <c r="MT25" s="14"/>
      <c r="MU25" s="14"/>
      <c r="MV25" s="14"/>
      <c r="MW25" s="14"/>
      <c r="MX25" s="14"/>
      <c r="MY25" s="14"/>
      <c r="MZ25" s="14"/>
      <c r="NA25" s="14"/>
      <c r="NB25" s="14"/>
      <c r="NC25" s="14"/>
      <c r="ND25" s="14"/>
      <c r="NE25" s="14"/>
      <c r="NF25" s="14"/>
      <c r="NG25" s="14"/>
      <c r="NH25" s="14"/>
      <c r="NI25" s="14"/>
      <c r="NJ25" s="14"/>
      <c r="NK25" s="14"/>
      <c r="NL25" s="14"/>
      <c r="NM25" s="14"/>
      <c r="NN25" s="14"/>
      <c r="NO25" s="14"/>
      <c r="NP25" s="14"/>
      <c r="NQ25" s="14"/>
      <c r="NR25" s="14"/>
      <c r="NS25" s="14"/>
      <c r="NT25" s="14"/>
      <c r="NU25" s="14"/>
      <c r="NV25" s="14"/>
      <c r="NW25" s="14"/>
      <c r="NX25" s="14"/>
      <c r="NY25" s="14"/>
      <c r="NZ25" s="14"/>
      <c r="OA25" s="14"/>
      <c r="OB25" s="14"/>
      <c r="OC25" s="14"/>
      <c r="OD25" s="14"/>
      <c r="OE25" s="14"/>
      <c r="OF25" s="14"/>
      <c r="OG25" s="14"/>
      <c r="OH25" s="14"/>
      <c r="OI25" s="14"/>
      <c r="OJ25" s="14"/>
      <c r="OK25" s="14"/>
      <c r="OL25" s="14"/>
      <c r="OM25" s="14"/>
      <c r="ON25" s="14"/>
      <c r="OO25" s="14"/>
      <c r="OP25" s="14"/>
      <c r="OQ25" s="14"/>
      <c r="OR25" s="14"/>
      <c r="OS25" s="14"/>
      <c r="OT25" s="14"/>
      <c r="OU25" s="14"/>
      <c r="OV25" s="14"/>
      <c r="OW25" s="14"/>
      <c r="OX25" s="14"/>
      <c r="OY25" s="14"/>
      <c r="OZ25" s="14"/>
      <c r="PA25" s="14"/>
      <c r="PB25" s="14"/>
      <c r="PC25" s="14"/>
      <c r="PD25" s="14"/>
      <c r="PE25" s="14"/>
      <c r="PF25" s="14"/>
      <c r="PG25" s="14"/>
      <c r="PH25" s="14"/>
      <c r="PI25" s="14"/>
      <c r="PJ25" s="14"/>
      <c r="PK25" s="14"/>
      <c r="PL25" s="14"/>
      <c r="PM25" s="14"/>
      <c r="PN25" s="14"/>
      <c r="PO25" s="14"/>
      <c r="PP25" s="14"/>
      <c r="PQ25" s="14"/>
      <c r="PR25" s="14"/>
      <c r="PS25" s="14"/>
      <c r="PT25" s="14"/>
      <c r="PU25" s="14"/>
      <c r="PV25" s="14"/>
      <c r="PW25" s="14"/>
      <c r="PX25" s="14"/>
      <c r="PY25" s="14"/>
      <c r="PZ25" s="14"/>
      <c r="QA25" s="14"/>
      <c r="QB25" s="14"/>
      <c r="QC25" s="14"/>
      <c r="QD25" s="14"/>
      <c r="QE25" s="14"/>
      <c r="QF25" s="14"/>
      <c r="QG25" s="14"/>
      <c r="QH25" s="14"/>
      <c r="QI25" s="14"/>
      <c r="QJ25" s="14"/>
      <c r="QK25" s="14"/>
      <c r="QL25" s="14"/>
      <c r="QM25" s="14"/>
      <c r="QN25" s="14"/>
      <c r="QO25" s="14"/>
      <c r="QP25" s="14"/>
      <c r="QQ25" s="14"/>
      <c r="QR25" s="14"/>
      <c r="QS25" s="14"/>
      <c r="QT25" s="14"/>
      <c r="QU25" s="14"/>
      <c r="QV25" s="14"/>
      <c r="QW25" s="14"/>
      <c r="QX25" s="14"/>
      <c r="QY25" s="14"/>
      <c r="QZ25" s="14"/>
      <c r="RA25" s="14"/>
      <c r="RB25" s="14"/>
      <c r="RC25" s="14"/>
      <c r="RD25" s="14"/>
      <c r="RE25" s="14"/>
      <c r="RF25" s="14"/>
      <c r="RG25" s="14"/>
      <c r="RH25" s="14"/>
      <c r="RI25" s="14"/>
      <c r="RJ25" s="14"/>
      <c r="RK25" s="14"/>
      <c r="RL25" s="14"/>
      <c r="RM25" s="14"/>
      <c r="RN25" s="14"/>
      <c r="RO25" s="14"/>
      <c r="RP25" s="14"/>
      <c r="RQ25" s="14"/>
      <c r="RR25" s="14"/>
      <c r="RS25" s="14"/>
      <c r="RT25" s="14"/>
      <c r="RU25" s="14"/>
      <c r="RV25" s="14"/>
      <c r="RW25" s="14"/>
      <c r="RX25" s="14"/>
      <c r="RY25" s="14"/>
      <c r="RZ25" s="14"/>
      <c r="SA25" s="14"/>
      <c r="SB25" s="14"/>
      <c r="SC25" s="14"/>
    </row>
    <row r="26" spans="1:497" ht="27" customHeight="1" x14ac:dyDescent="0.15">
      <c r="A26" s="10">
        <v>3.1</v>
      </c>
      <c r="B26" s="11" t="s">
        <v>110</v>
      </c>
      <c r="C26" s="12"/>
      <c r="D26" s="12"/>
      <c r="E26" s="95"/>
      <c r="F26" s="93"/>
      <c r="G26" s="96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  <c r="IS26" s="14"/>
      <c r="IT26" s="14"/>
      <c r="IU26" s="14"/>
      <c r="IV26" s="14"/>
      <c r="IW26" s="14"/>
      <c r="IX26" s="14"/>
      <c r="IY26" s="14"/>
      <c r="IZ26" s="14"/>
      <c r="JA26" s="14"/>
      <c r="JB26" s="14"/>
      <c r="JC26" s="14"/>
      <c r="JD26" s="14"/>
      <c r="JE26" s="14"/>
      <c r="JF26" s="14"/>
      <c r="JG26" s="14"/>
      <c r="JH26" s="14"/>
      <c r="JI26" s="14"/>
      <c r="JJ26" s="14"/>
      <c r="JK26" s="14"/>
      <c r="JL26" s="14"/>
      <c r="JM26" s="14"/>
      <c r="JN26" s="14"/>
      <c r="JO26" s="14"/>
      <c r="JP26" s="14"/>
      <c r="JQ26" s="14"/>
      <c r="JR26" s="14"/>
      <c r="JS26" s="14"/>
      <c r="JT26" s="14"/>
      <c r="JU26" s="14"/>
      <c r="JV26" s="14"/>
      <c r="JW26" s="14"/>
      <c r="JX26" s="14"/>
      <c r="JY26" s="14"/>
      <c r="JZ26" s="14"/>
      <c r="KA26" s="14"/>
      <c r="KB26" s="14"/>
      <c r="KC26" s="14"/>
      <c r="KD26" s="14"/>
      <c r="KE26" s="14"/>
      <c r="KF26" s="14"/>
      <c r="KG26" s="14"/>
      <c r="KH26" s="14"/>
      <c r="KI26" s="14"/>
      <c r="KJ26" s="14"/>
      <c r="KK26" s="14"/>
      <c r="KL26" s="14"/>
      <c r="KM26" s="14"/>
      <c r="KN26" s="14"/>
      <c r="KO26" s="14"/>
      <c r="KP26" s="14"/>
      <c r="KQ26" s="14"/>
      <c r="KR26" s="14"/>
      <c r="KS26" s="14"/>
      <c r="KT26" s="14"/>
      <c r="KU26" s="14"/>
      <c r="KV26" s="14"/>
      <c r="KW26" s="14"/>
      <c r="KX26" s="14"/>
      <c r="KY26" s="14"/>
      <c r="KZ26" s="14"/>
      <c r="LA26" s="14"/>
      <c r="LB26" s="14"/>
      <c r="LC26" s="14"/>
      <c r="LD26" s="14"/>
      <c r="LE26" s="14"/>
      <c r="LF26" s="14"/>
      <c r="LG26" s="14"/>
      <c r="LH26" s="14"/>
      <c r="LI26" s="14"/>
      <c r="LJ26" s="14"/>
      <c r="LK26" s="14"/>
      <c r="LL26" s="14"/>
      <c r="LM26" s="14"/>
      <c r="LN26" s="14"/>
      <c r="LO26" s="14"/>
      <c r="LP26" s="14"/>
      <c r="LQ26" s="14"/>
      <c r="LR26" s="14"/>
      <c r="LS26" s="14"/>
      <c r="LT26" s="14"/>
      <c r="LU26" s="14"/>
      <c r="LV26" s="14"/>
      <c r="LW26" s="14"/>
      <c r="LX26" s="14"/>
      <c r="LY26" s="14"/>
      <c r="LZ26" s="14"/>
      <c r="MA26" s="14"/>
      <c r="MB26" s="14"/>
      <c r="MC26" s="14"/>
      <c r="MD26" s="14"/>
      <c r="ME26" s="14"/>
      <c r="MF26" s="14"/>
      <c r="MG26" s="14"/>
      <c r="MH26" s="14"/>
      <c r="MI26" s="14"/>
      <c r="MJ26" s="14"/>
      <c r="MK26" s="14"/>
      <c r="ML26" s="14"/>
      <c r="MM26" s="14"/>
      <c r="MN26" s="14"/>
      <c r="MO26" s="14"/>
      <c r="MP26" s="14"/>
      <c r="MQ26" s="14"/>
      <c r="MR26" s="14"/>
      <c r="MS26" s="14"/>
      <c r="MT26" s="14"/>
      <c r="MU26" s="14"/>
      <c r="MV26" s="14"/>
      <c r="MW26" s="14"/>
      <c r="MX26" s="14"/>
      <c r="MY26" s="14"/>
      <c r="MZ26" s="14"/>
      <c r="NA26" s="14"/>
      <c r="NB26" s="14"/>
      <c r="NC26" s="14"/>
      <c r="ND26" s="14"/>
      <c r="NE26" s="14"/>
      <c r="NF26" s="14"/>
      <c r="NG26" s="14"/>
      <c r="NH26" s="14"/>
      <c r="NI26" s="14"/>
      <c r="NJ26" s="14"/>
      <c r="NK26" s="14"/>
      <c r="NL26" s="14"/>
      <c r="NM26" s="14"/>
      <c r="NN26" s="14"/>
      <c r="NO26" s="14"/>
      <c r="NP26" s="14"/>
      <c r="NQ26" s="14"/>
      <c r="NR26" s="14"/>
      <c r="NS26" s="14"/>
      <c r="NT26" s="14"/>
      <c r="NU26" s="14"/>
      <c r="NV26" s="14"/>
      <c r="NW26" s="14"/>
      <c r="NX26" s="14"/>
      <c r="NY26" s="14"/>
      <c r="NZ26" s="14"/>
      <c r="OA26" s="14"/>
      <c r="OB26" s="14"/>
      <c r="OC26" s="14"/>
      <c r="OD26" s="14"/>
      <c r="OE26" s="14"/>
      <c r="OF26" s="14"/>
      <c r="OG26" s="14"/>
      <c r="OH26" s="14"/>
      <c r="OI26" s="14"/>
      <c r="OJ26" s="14"/>
      <c r="OK26" s="14"/>
      <c r="OL26" s="14"/>
      <c r="OM26" s="14"/>
      <c r="ON26" s="14"/>
      <c r="OO26" s="14"/>
      <c r="OP26" s="14"/>
      <c r="OQ26" s="14"/>
      <c r="OR26" s="14"/>
      <c r="OS26" s="14"/>
      <c r="OT26" s="14"/>
      <c r="OU26" s="14"/>
      <c r="OV26" s="14"/>
      <c r="OW26" s="14"/>
      <c r="OX26" s="14"/>
      <c r="OY26" s="14"/>
      <c r="OZ26" s="14"/>
      <c r="PA26" s="14"/>
      <c r="PB26" s="14"/>
      <c r="PC26" s="14"/>
      <c r="PD26" s="14"/>
      <c r="PE26" s="14"/>
      <c r="PF26" s="14"/>
      <c r="PG26" s="14"/>
      <c r="PH26" s="14"/>
      <c r="PI26" s="14"/>
      <c r="PJ26" s="14"/>
      <c r="PK26" s="14"/>
      <c r="PL26" s="14"/>
      <c r="PM26" s="14"/>
      <c r="PN26" s="14"/>
      <c r="PO26" s="14"/>
      <c r="PP26" s="14"/>
      <c r="PQ26" s="14"/>
      <c r="PR26" s="14"/>
      <c r="PS26" s="14"/>
      <c r="PT26" s="14"/>
      <c r="PU26" s="14"/>
      <c r="PV26" s="14"/>
      <c r="PW26" s="14"/>
      <c r="PX26" s="14"/>
      <c r="PY26" s="14"/>
      <c r="PZ26" s="14"/>
      <c r="QA26" s="14"/>
      <c r="QB26" s="14"/>
      <c r="QC26" s="14"/>
      <c r="QD26" s="14"/>
      <c r="QE26" s="14"/>
      <c r="QF26" s="14"/>
      <c r="QG26" s="14"/>
      <c r="QH26" s="14"/>
      <c r="QI26" s="14"/>
      <c r="QJ26" s="14"/>
      <c r="QK26" s="14"/>
      <c r="QL26" s="14"/>
      <c r="QM26" s="14"/>
      <c r="QN26" s="14"/>
      <c r="QO26" s="14"/>
      <c r="QP26" s="14"/>
      <c r="QQ26" s="14"/>
      <c r="QR26" s="14"/>
      <c r="QS26" s="14"/>
      <c r="QT26" s="14"/>
      <c r="QU26" s="14"/>
      <c r="QV26" s="14"/>
      <c r="QW26" s="14"/>
      <c r="QX26" s="14"/>
      <c r="QY26" s="14"/>
      <c r="QZ26" s="14"/>
      <c r="RA26" s="14"/>
      <c r="RB26" s="14"/>
      <c r="RC26" s="14"/>
      <c r="RD26" s="14"/>
      <c r="RE26" s="14"/>
      <c r="RF26" s="14"/>
      <c r="RG26" s="14"/>
      <c r="RH26" s="14"/>
      <c r="RI26" s="14"/>
      <c r="RJ26" s="14"/>
      <c r="RK26" s="14"/>
      <c r="RL26" s="14"/>
      <c r="RM26" s="14"/>
      <c r="RN26" s="14"/>
      <c r="RO26" s="14"/>
      <c r="RP26" s="14"/>
      <c r="RQ26" s="14"/>
      <c r="RR26" s="14"/>
      <c r="RS26" s="14"/>
      <c r="RT26" s="14"/>
      <c r="RU26" s="14"/>
      <c r="RV26" s="14"/>
      <c r="RW26" s="14"/>
      <c r="RX26" s="14"/>
      <c r="RY26" s="14"/>
      <c r="RZ26" s="14"/>
      <c r="SA26" s="14"/>
      <c r="SB26" s="14"/>
      <c r="SC26" s="14"/>
    </row>
    <row r="27" spans="1:497" ht="27" customHeight="1" x14ac:dyDescent="0.15">
      <c r="A27" s="10">
        <v>3.2</v>
      </c>
      <c r="B27" s="11" t="s">
        <v>111</v>
      </c>
      <c r="C27" s="12"/>
      <c r="D27" s="12"/>
      <c r="E27" s="95"/>
      <c r="F27" s="93"/>
      <c r="G27" s="96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  <c r="IP27" s="14"/>
      <c r="IQ27" s="14"/>
      <c r="IR27" s="14"/>
      <c r="IS27" s="14"/>
      <c r="IT27" s="14"/>
      <c r="IU27" s="14"/>
      <c r="IV27" s="14"/>
      <c r="IW27" s="14"/>
      <c r="IX27" s="14"/>
      <c r="IY27" s="14"/>
      <c r="IZ27" s="14"/>
      <c r="JA27" s="14"/>
      <c r="JB27" s="14"/>
      <c r="JC27" s="14"/>
      <c r="JD27" s="14"/>
      <c r="JE27" s="14"/>
      <c r="JF27" s="14"/>
      <c r="JG27" s="14"/>
      <c r="JH27" s="14"/>
      <c r="JI27" s="14"/>
      <c r="JJ27" s="14"/>
      <c r="JK27" s="14"/>
      <c r="JL27" s="14"/>
      <c r="JM27" s="14"/>
      <c r="JN27" s="14"/>
      <c r="JO27" s="14"/>
      <c r="JP27" s="14"/>
      <c r="JQ27" s="14"/>
      <c r="JR27" s="14"/>
      <c r="JS27" s="14"/>
      <c r="JT27" s="14"/>
      <c r="JU27" s="14"/>
      <c r="JV27" s="14"/>
      <c r="JW27" s="14"/>
      <c r="JX27" s="14"/>
      <c r="JY27" s="14"/>
      <c r="JZ27" s="14"/>
      <c r="KA27" s="14"/>
      <c r="KB27" s="14"/>
      <c r="KC27" s="14"/>
      <c r="KD27" s="14"/>
      <c r="KE27" s="14"/>
      <c r="KF27" s="14"/>
      <c r="KG27" s="14"/>
      <c r="KH27" s="14"/>
      <c r="KI27" s="14"/>
      <c r="KJ27" s="14"/>
      <c r="KK27" s="14"/>
      <c r="KL27" s="14"/>
      <c r="KM27" s="14"/>
      <c r="KN27" s="14"/>
      <c r="KO27" s="14"/>
      <c r="KP27" s="14"/>
      <c r="KQ27" s="14"/>
      <c r="KR27" s="14"/>
      <c r="KS27" s="14"/>
      <c r="KT27" s="14"/>
      <c r="KU27" s="14"/>
      <c r="KV27" s="14"/>
      <c r="KW27" s="14"/>
      <c r="KX27" s="14"/>
      <c r="KY27" s="14"/>
      <c r="KZ27" s="14"/>
      <c r="LA27" s="14"/>
      <c r="LB27" s="14"/>
      <c r="LC27" s="14"/>
      <c r="LD27" s="14"/>
      <c r="LE27" s="14"/>
      <c r="LF27" s="14"/>
      <c r="LG27" s="14"/>
      <c r="LH27" s="14"/>
      <c r="LI27" s="14"/>
      <c r="LJ27" s="14"/>
      <c r="LK27" s="14"/>
      <c r="LL27" s="14"/>
      <c r="LM27" s="14"/>
      <c r="LN27" s="14"/>
      <c r="LO27" s="14"/>
      <c r="LP27" s="14"/>
      <c r="LQ27" s="14"/>
      <c r="LR27" s="14"/>
      <c r="LS27" s="14"/>
      <c r="LT27" s="14"/>
      <c r="LU27" s="14"/>
      <c r="LV27" s="14"/>
      <c r="LW27" s="14"/>
      <c r="LX27" s="14"/>
      <c r="LY27" s="14"/>
      <c r="LZ27" s="14"/>
      <c r="MA27" s="14"/>
      <c r="MB27" s="14"/>
      <c r="MC27" s="14"/>
      <c r="MD27" s="14"/>
      <c r="ME27" s="14"/>
      <c r="MF27" s="14"/>
      <c r="MG27" s="14"/>
      <c r="MH27" s="14"/>
      <c r="MI27" s="14"/>
      <c r="MJ27" s="14"/>
      <c r="MK27" s="14"/>
      <c r="ML27" s="14"/>
      <c r="MM27" s="14"/>
      <c r="MN27" s="14"/>
      <c r="MO27" s="14"/>
      <c r="MP27" s="14"/>
      <c r="MQ27" s="14"/>
      <c r="MR27" s="14"/>
      <c r="MS27" s="14"/>
      <c r="MT27" s="14"/>
      <c r="MU27" s="14"/>
      <c r="MV27" s="14"/>
      <c r="MW27" s="14"/>
      <c r="MX27" s="14"/>
      <c r="MY27" s="14"/>
      <c r="MZ27" s="14"/>
      <c r="NA27" s="14"/>
      <c r="NB27" s="14"/>
      <c r="NC27" s="14"/>
      <c r="ND27" s="14"/>
      <c r="NE27" s="14"/>
      <c r="NF27" s="14"/>
      <c r="NG27" s="14"/>
      <c r="NH27" s="14"/>
      <c r="NI27" s="14"/>
      <c r="NJ27" s="14"/>
      <c r="NK27" s="14"/>
      <c r="NL27" s="14"/>
      <c r="NM27" s="14"/>
      <c r="NN27" s="14"/>
      <c r="NO27" s="14"/>
      <c r="NP27" s="14"/>
      <c r="NQ27" s="14"/>
      <c r="NR27" s="14"/>
      <c r="NS27" s="14"/>
      <c r="NT27" s="14"/>
      <c r="NU27" s="14"/>
      <c r="NV27" s="14"/>
      <c r="NW27" s="14"/>
      <c r="NX27" s="14"/>
      <c r="NY27" s="14"/>
      <c r="NZ27" s="14"/>
      <c r="OA27" s="14"/>
      <c r="OB27" s="14"/>
      <c r="OC27" s="14"/>
      <c r="OD27" s="14"/>
      <c r="OE27" s="14"/>
      <c r="OF27" s="14"/>
      <c r="OG27" s="14"/>
      <c r="OH27" s="14"/>
      <c r="OI27" s="14"/>
      <c r="OJ27" s="14"/>
      <c r="OK27" s="14"/>
      <c r="OL27" s="14"/>
      <c r="OM27" s="14"/>
      <c r="ON27" s="14"/>
      <c r="OO27" s="14"/>
      <c r="OP27" s="14"/>
      <c r="OQ27" s="14"/>
      <c r="OR27" s="14"/>
      <c r="OS27" s="14"/>
      <c r="OT27" s="14"/>
      <c r="OU27" s="14"/>
      <c r="OV27" s="14"/>
      <c r="OW27" s="14"/>
      <c r="OX27" s="14"/>
      <c r="OY27" s="14"/>
      <c r="OZ27" s="14"/>
      <c r="PA27" s="14"/>
      <c r="PB27" s="14"/>
      <c r="PC27" s="14"/>
      <c r="PD27" s="14"/>
      <c r="PE27" s="14"/>
      <c r="PF27" s="14"/>
      <c r="PG27" s="14"/>
      <c r="PH27" s="14"/>
      <c r="PI27" s="14"/>
      <c r="PJ27" s="14"/>
      <c r="PK27" s="14"/>
      <c r="PL27" s="14"/>
      <c r="PM27" s="14"/>
      <c r="PN27" s="14"/>
      <c r="PO27" s="14"/>
      <c r="PP27" s="14"/>
      <c r="PQ27" s="14"/>
      <c r="PR27" s="14"/>
      <c r="PS27" s="14"/>
      <c r="PT27" s="14"/>
      <c r="PU27" s="14"/>
      <c r="PV27" s="14"/>
      <c r="PW27" s="14"/>
      <c r="PX27" s="14"/>
      <c r="PY27" s="14"/>
      <c r="PZ27" s="14"/>
      <c r="QA27" s="14"/>
      <c r="QB27" s="14"/>
      <c r="QC27" s="14"/>
      <c r="QD27" s="14"/>
      <c r="QE27" s="14"/>
      <c r="QF27" s="14"/>
      <c r="QG27" s="14"/>
      <c r="QH27" s="14"/>
      <c r="QI27" s="14"/>
      <c r="QJ27" s="14"/>
      <c r="QK27" s="14"/>
      <c r="QL27" s="14"/>
      <c r="QM27" s="14"/>
      <c r="QN27" s="14"/>
      <c r="QO27" s="14"/>
      <c r="QP27" s="14"/>
      <c r="QQ27" s="14"/>
      <c r="QR27" s="14"/>
      <c r="QS27" s="14"/>
      <c r="QT27" s="14"/>
      <c r="QU27" s="14"/>
      <c r="QV27" s="14"/>
      <c r="QW27" s="14"/>
      <c r="QX27" s="14"/>
      <c r="QY27" s="14"/>
      <c r="QZ27" s="14"/>
      <c r="RA27" s="14"/>
      <c r="RB27" s="14"/>
      <c r="RC27" s="14"/>
      <c r="RD27" s="14"/>
      <c r="RE27" s="14"/>
      <c r="RF27" s="14"/>
      <c r="RG27" s="14"/>
      <c r="RH27" s="14"/>
      <c r="RI27" s="14"/>
      <c r="RJ27" s="14"/>
      <c r="RK27" s="14"/>
      <c r="RL27" s="14"/>
      <c r="RM27" s="14"/>
      <c r="RN27" s="14"/>
      <c r="RO27" s="14"/>
      <c r="RP27" s="14"/>
      <c r="RQ27" s="14"/>
      <c r="RR27" s="14"/>
      <c r="RS27" s="14"/>
      <c r="RT27" s="14"/>
      <c r="RU27" s="14"/>
      <c r="RV27" s="14"/>
      <c r="RW27" s="14"/>
      <c r="RX27" s="14"/>
      <c r="RY27" s="14"/>
      <c r="RZ27" s="14"/>
      <c r="SA27" s="14"/>
      <c r="SB27" s="14"/>
      <c r="SC27" s="14"/>
    </row>
    <row r="28" spans="1:497" ht="27" customHeight="1" x14ac:dyDescent="0.15">
      <c r="A28" s="10">
        <v>3.3</v>
      </c>
      <c r="B28" s="11" t="s">
        <v>106</v>
      </c>
      <c r="C28" s="12"/>
      <c r="D28" s="12"/>
      <c r="E28" s="95"/>
      <c r="F28" s="93"/>
      <c r="G28" s="96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  <c r="IP28" s="14"/>
      <c r="IQ28" s="14"/>
      <c r="IR28" s="14"/>
      <c r="IS28" s="14"/>
      <c r="IT28" s="14"/>
      <c r="IU28" s="14"/>
      <c r="IV28" s="14"/>
      <c r="IW28" s="14"/>
      <c r="IX28" s="14"/>
      <c r="IY28" s="14"/>
      <c r="IZ28" s="14"/>
      <c r="JA28" s="14"/>
      <c r="JB28" s="14"/>
      <c r="JC28" s="14"/>
      <c r="JD28" s="14"/>
      <c r="JE28" s="14"/>
      <c r="JF28" s="14"/>
      <c r="JG28" s="14"/>
      <c r="JH28" s="14"/>
      <c r="JI28" s="14"/>
      <c r="JJ28" s="14"/>
      <c r="JK28" s="14"/>
      <c r="JL28" s="14"/>
      <c r="JM28" s="14"/>
      <c r="JN28" s="14"/>
      <c r="JO28" s="14"/>
      <c r="JP28" s="14"/>
      <c r="JQ28" s="14"/>
      <c r="JR28" s="14"/>
      <c r="JS28" s="14"/>
      <c r="JT28" s="14"/>
      <c r="JU28" s="14"/>
      <c r="JV28" s="14"/>
      <c r="JW28" s="14"/>
      <c r="JX28" s="14"/>
      <c r="JY28" s="14"/>
      <c r="JZ28" s="14"/>
      <c r="KA28" s="14"/>
      <c r="KB28" s="14"/>
      <c r="KC28" s="14"/>
      <c r="KD28" s="14"/>
      <c r="KE28" s="14"/>
      <c r="KF28" s="14"/>
      <c r="KG28" s="14"/>
      <c r="KH28" s="14"/>
      <c r="KI28" s="14"/>
      <c r="KJ28" s="14"/>
      <c r="KK28" s="14"/>
      <c r="KL28" s="14"/>
      <c r="KM28" s="14"/>
      <c r="KN28" s="14"/>
      <c r="KO28" s="14"/>
      <c r="KP28" s="14"/>
      <c r="KQ28" s="14"/>
      <c r="KR28" s="14"/>
      <c r="KS28" s="14"/>
      <c r="KT28" s="14"/>
      <c r="KU28" s="14"/>
      <c r="KV28" s="14"/>
      <c r="KW28" s="14"/>
      <c r="KX28" s="14"/>
      <c r="KY28" s="14"/>
      <c r="KZ28" s="14"/>
      <c r="LA28" s="14"/>
      <c r="LB28" s="14"/>
      <c r="LC28" s="14"/>
      <c r="LD28" s="14"/>
      <c r="LE28" s="14"/>
      <c r="LF28" s="14"/>
      <c r="LG28" s="14"/>
      <c r="LH28" s="14"/>
      <c r="LI28" s="14"/>
      <c r="LJ28" s="14"/>
      <c r="LK28" s="14"/>
      <c r="LL28" s="14"/>
      <c r="LM28" s="14"/>
      <c r="LN28" s="14"/>
      <c r="LO28" s="14"/>
      <c r="LP28" s="14"/>
      <c r="LQ28" s="14"/>
      <c r="LR28" s="14"/>
      <c r="LS28" s="14"/>
      <c r="LT28" s="14"/>
      <c r="LU28" s="14"/>
      <c r="LV28" s="14"/>
      <c r="LW28" s="14"/>
      <c r="LX28" s="14"/>
      <c r="LY28" s="14"/>
      <c r="LZ28" s="14"/>
      <c r="MA28" s="14"/>
      <c r="MB28" s="14"/>
      <c r="MC28" s="14"/>
      <c r="MD28" s="14"/>
      <c r="ME28" s="14"/>
      <c r="MF28" s="14"/>
      <c r="MG28" s="14"/>
      <c r="MH28" s="14"/>
      <c r="MI28" s="14"/>
      <c r="MJ28" s="14"/>
      <c r="MK28" s="14"/>
      <c r="ML28" s="14"/>
      <c r="MM28" s="14"/>
      <c r="MN28" s="14"/>
      <c r="MO28" s="14"/>
      <c r="MP28" s="14"/>
      <c r="MQ28" s="14"/>
      <c r="MR28" s="14"/>
      <c r="MS28" s="14"/>
      <c r="MT28" s="14"/>
      <c r="MU28" s="14"/>
      <c r="MV28" s="14"/>
      <c r="MW28" s="14"/>
      <c r="MX28" s="14"/>
      <c r="MY28" s="14"/>
      <c r="MZ28" s="14"/>
      <c r="NA28" s="14"/>
      <c r="NB28" s="14"/>
      <c r="NC28" s="14"/>
      <c r="ND28" s="14"/>
      <c r="NE28" s="14"/>
      <c r="NF28" s="14"/>
      <c r="NG28" s="14"/>
      <c r="NH28" s="14"/>
      <c r="NI28" s="14"/>
      <c r="NJ28" s="14"/>
      <c r="NK28" s="14"/>
      <c r="NL28" s="14"/>
      <c r="NM28" s="14"/>
      <c r="NN28" s="14"/>
      <c r="NO28" s="14"/>
      <c r="NP28" s="14"/>
      <c r="NQ28" s="14"/>
      <c r="NR28" s="14"/>
      <c r="NS28" s="14"/>
      <c r="NT28" s="14"/>
      <c r="NU28" s="14"/>
      <c r="NV28" s="14"/>
      <c r="NW28" s="14"/>
      <c r="NX28" s="14"/>
      <c r="NY28" s="14"/>
      <c r="NZ28" s="14"/>
      <c r="OA28" s="14"/>
      <c r="OB28" s="14"/>
      <c r="OC28" s="14"/>
      <c r="OD28" s="14"/>
      <c r="OE28" s="14"/>
      <c r="OF28" s="14"/>
      <c r="OG28" s="14"/>
      <c r="OH28" s="14"/>
      <c r="OI28" s="14"/>
      <c r="OJ28" s="14"/>
      <c r="OK28" s="14"/>
      <c r="OL28" s="14"/>
      <c r="OM28" s="14"/>
      <c r="ON28" s="14"/>
      <c r="OO28" s="14"/>
      <c r="OP28" s="14"/>
      <c r="OQ28" s="14"/>
      <c r="OR28" s="14"/>
      <c r="OS28" s="14"/>
      <c r="OT28" s="14"/>
      <c r="OU28" s="14"/>
      <c r="OV28" s="14"/>
      <c r="OW28" s="14"/>
      <c r="OX28" s="14"/>
      <c r="OY28" s="14"/>
      <c r="OZ28" s="14"/>
      <c r="PA28" s="14"/>
      <c r="PB28" s="14"/>
      <c r="PC28" s="14"/>
      <c r="PD28" s="14"/>
      <c r="PE28" s="14"/>
      <c r="PF28" s="14"/>
      <c r="PG28" s="14"/>
      <c r="PH28" s="14"/>
      <c r="PI28" s="14"/>
      <c r="PJ28" s="14"/>
      <c r="PK28" s="14"/>
      <c r="PL28" s="14"/>
      <c r="PM28" s="14"/>
      <c r="PN28" s="14"/>
      <c r="PO28" s="14"/>
      <c r="PP28" s="14"/>
      <c r="PQ28" s="14"/>
      <c r="PR28" s="14"/>
      <c r="PS28" s="14"/>
      <c r="PT28" s="14"/>
      <c r="PU28" s="14"/>
      <c r="PV28" s="14"/>
      <c r="PW28" s="14"/>
      <c r="PX28" s="14"/>
      <c r="PY28" s="14"/>
      <c r="PZ28" s="14"/>
      <c r="QA28" s="14"/>
      <c r="QB28" s="14"/>
      <c r="QC28" s="14"/>
      <c r="QD28" s="14"/>
      <c r="QE28" s="14"/>
      <c r="QF28" s="14"/>
      <c r="QG28" s="14"/>
      <c r="QH28" s="14"/>
      <c r="QI28" s="14"/>
      <c r="QJ28" s="14"/>
      <c r="QK28" s="14"/>
      <c r="QL28" s="14"/>
      <c r="QM28" s="14"/>
      <c r="QN28" s="14"/>
      <c r="QO28" s="14"/>
      <c r="QP28" s="14"/>
      <c r="QQ28" s="14"/>
      <c r="QR28" s="14"/>
      <c r="QS28" s="14"/>
      <c r="QT28" s="14"/>
      <c r="QU28" s="14"/>
      <c r="QV28" s="14"/>
      <c r="QW28" s="14"/>
      <c r="QX28" s="14"/>
      <c r="QY28" s="14"/>
      <c r="QZ28" s="14"/>
      <c r="RA28" s="14"/>
      <c r="RB28" s="14"/>
      <c r="RC28" s="14"/>
      <c r="RD28" s="14"/>
      <c r="RE28" s="14"/>
      <c r="RF28" s="14"/>
      <c r="RG28" s="14"/>
      <c r="RH28" s="14"/>
      <c r="RI28" s="14"/>
      <c r="RJ28" s="14"/>
      <c r="RK28" s="14"/>
      <c r="RL28" s="14"/>
      <c r="RM28" s="14"/>
      <c r="RN28" s="14"/>
      <c r="RO28" s="14"/>
      <c r="RP28" s="14"/>
      <c r="RQ28" s="14"/>
      <c r="RR28" s="14"/>
      <c r="RS28" s="14"/>
      <c r="RT28" s="14"/>
      <c r="RU28" s="14"/>
      <c r="RV28" s="14"/>
      <c r="RW28" s="14"/>
      <c r="RX28" s="14"/>
      <c r="RY28" s="14"/>
      <c r="RZ28" s="14"/>
      <c r="SA28" s="14"/>
      <c r="SB28" s="14"/>
      <c r="SC28" s="14"/>
    </row>
    <row r="29" spans="1:497" ht="27" customHeight="1" x14ac:dyDescent="0.15">
      <c r="A29" s="10">
        <v>3.4</v>
      </c>
      <c r="B29" s="11" t="s">
        <v>112</v>
      </c>
      <c r="C29" s="12"/>
      <c r="D29" s="12"/>
      <c r="E29" s="95"/>
      <c r="F29" s="88"/>
      <c r="G29" s="89"/>
      <c r="H29" s="14"/>
      <c r="I29" s="14" t="str" cm="1">
        <f t="array" ref="I29">IFERROR(_xlfn._xlws.FILTER(#REF!, (I$9 = $F29)), "")</f>
        <v/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4"/>
      <c r="HL29" s="14"/>
      <c r="HM29" s="14"/>
      <c r="HN29" s="14"/>
      <c r="HO29" s="14"/>
      <c r="HP29" s="14"/>
      <c r="HQ29" s="14"/>
      <c r="HR29" s="14"/>
      <c r="HS29" s="14"/>
      <c r="HT29" s="14"/>
      <c r="HU29" s="14"/>
      <c r="HV29" s="14"/>
      <c r="HW29" s="14"/>
      <c r="HX29" s="14"/>
      <c r="HY29" s="14"/>
      <c r="HZ29" s="14"/>
      <c r="IA29" s="14"/>
      <c r="IB29" s="14"/>
      <c r="IC29" s="14"/>
      <c r="ID29" s="14"/>
      <c r="IE29" s="14"/>
      <c r="IF29" s="14"/>
      <c r="IG29" s="14"/>
      <c r="IH29" s="14"/>
      <c r="II29" s="14"/>
      <c r="IJ29" s="14"/>
      <c r="IK29" s="14"/>
      <c r="IL29" s="14"/>
      <c r="IM29" s="14"/>
      <c r="IN29" s="14"/>
      <c r="IO29" s="14"/>
      <c r="IP29" s="14"/>
      <c r="IQ29" s="14"/>
      <c r="IR29" s="14"/>
      <c r="IS29" s="14"/>
      <c r="IT29" s="14"/>
      <c r="IU29" s="14"/>
      <c r="IV29" s="14"/>
      <c r="IW29" s="14"/>
      <c r="IX29" s="14"/>
      <c r="IY29" s="14"/>
      <c r="IZ29" s="14"/>
      <c r="JA29" s="14"/>
      <c r="JB29" s="14"/>
      <c r="JC29" s="14"/>
      <c r="JD29" s="14"/>
      <c r="JE29" s="14"/>
      <c r="JF29" s="14"/>
      <c r="JG29" s="14"/>
      <c r="JH29" s="14"/>
      <c r="JI29" s="14"/>
      <c r="JJ29" s="14"/>
      <c r="JK29" s="14"/>
      <c r="JL29" s="14"/>
      <c r="JM29" s="14"/>
      <c r="JN29" s="14"/>
      <c r="JO29" s="14"/>
      <c r="JP29" s="14"/>
      <c r="JQ29" s="14"/>
      <c r="JR29" s="14"/>
      <c r="JS29" s="14"/>
      <c r="JT29" s="14"/>
      <c r="JU29" s="14"/>
      <c r="JV29" s="14"/>
      <c r="JW29" s="14"/>
      <c r="JX29" s="14"/>
      <c r="JY29" s="14"/>
      <c r="JZ29" s="14"/>
      <c r="KA29" s="14"/>
      <c r="KB29" s="14"/>
      <c r="KC29" s="14"/>
      <c r="KD29" s="14"/>
      <c r="KE29" s="14"/>
      <c r="KF29" s="14"/>
      <c r="KG29" s="14"/>
      <c r="KH29" s="14"/>
      <c r="KI29" s="14"/>
      <c r="KJ29" s="14"/>
      <c r="KK29" s="14"/>
      <c r="KL29" s="14"/>
      <c r="KM29" s="14"/>
      <c r="KN29" s="14"/>
      <c r="KO29" s="14"/>
      <c r="KP29" s="14"/>
      <c r="KQ29" s="14"/>
      <c r="KR29" s="14"/>
      <c r="KS29" s="14"/>
      <c r="KT29" s="14"/>
      <c r="KU29" s="14"/>
      <c r="KV29" s="14"/>
      <c r="KW29" s="14"/>
      <c r="KX29" s="14"/>
      <c r="KY29" s="14"/>
      <c r="KZ29" s="14"/>
      <c r="LA29" s="14"/>
      <c r="LB29" s="14"/>
      <c r="LC29" s="14"/>
      <c r="LD29" s="14"/>
      <c r="LE29" s="14"/>
      <c r="LF29" s="14"/>
      <c r="LG29" s="14"/>
      <c r="LH29" s="14"/>
      <c r="LI29" s="14"/>
      <c r="LJ29" s="14"/>
      <c r="LK29" s="14"/>
      <c r="LL29" s="14"/>
      <c r="LM29" s="14"/>
      <c r="LN29" s="14"/>
      <c r="LO29" s="14"/>
      <c r="LP29" s="14"/>
      <c r="LQ29" s="14"/>
      <c r="LR29" s="14"/>
      <c r="LS29" s="14"/>
      <c r="LT29" s="14"/>
      <c r="LU29" s="14"/>
      <c r="LV29" s="14"/>
      <c r="LW29" s="14"/>
      <c r="LX29" s="14"/>
      <c r="LY29" s="14"/>
      <c r="LZ29" s="14"/>
      <c r="MA29" s="14"/>
      <c r="MB29" s="14"/>
      <c r="MC29" s="14"/>
      <c r="MD29" s="14"/>
      <c r="ME29" s="14"/>
      <c r="MF29" s="14"/>
      <c r="MG29" s="14"/>
      <c r="MH29" s="14"/>
      <c r="MI29" s="14"/>
      <c r="MJ29" s="14"/>
      <c r="MK29" s="14"/>
      <c r="ML29" s="14"/>
      <c r="MM29" s="14"/>
      <c r="MN29" s="14"/>
      <c r="MO29" s="14"/>
      <c r="MP29" s="14"/>
      <c r="MQ29" s="14"/>
      <c r="MR29" s="14"/>
      <c r="MS29" s="14"/>
      <c r="MT29" s="14"/>
      <c r="MU29" s="14"/>
      <c r="MV29" s="14"/>
      <c r="MW29" s="14"/>
      <c r="MX29" s="14"/>
      <c r="MY29" s="14"/>
      <c r="MZ29" s="14"/>
      <c r="NA29" s="14"/>
      <c r="NB29" s="14"/>
      <c r="NC29" s="14"/>
      <c r="ND29" s="14"/>
      <c r="NE29" s="14"/>
      <c r="NF29" s="14"/>
      <c r="NG29" s="14"/>
      <c r="NH29" s="14"/>
      <c r="NI29" s="14"/>
      <c r="NJ29" s="14"/>
      <c r="NK29" s="14"/>
      <c r="NL29" s="14"/>
      <c r="NM29" s="14"/>
      <c r="NN29" s="14"/>
      <c r="NO29" s="14"/>
      <c r="NP29" s="14"/>
      <c r="NQ29" s="14"/>
      <c r="NR29" s="14"/>
      <c r="NS29" s="14"/>
      <c r="NT29" s="14"/>
      <c r="NU29" s="14"/>
      <c r="NV29" s="14"/>
      <c r="NW29" s="14"/>
      <c r="NX29" s="14"/>
      <c r="NY29" s="14"/>
      <c r="NZ29" s="14"/>
      <c r="OA29" s="14"/>
      <c r="OB29" s="14"/>
      <c r="OC29" s="14"/>
      <c r="OD29" s="14"/>
      <c r="OE29" s="14"/>
      <c r="OF29" s="14"/>
      <c r="OG29" s="14"/>
      <c r="OH29" s="14"/>
      <c r="OI29" s="14"/>
      <c r="OJ29" s="14"/>
      <c r="OK29" s="14"/>
      <c r="OL29" s="14"/>
      <c r="OM29" s="14"/>
      <c r="ON29" s="14"/>
      <c r="OO29" s="14"/>
      <c r="OP29" s="14"/>
      <c r="OQ29" s="14"/>
      <c r="OR29" s="14"/>
      <c r="OS29" s="14"/>
      <c r="OT29" s="14"/>
      <c r="OU29" s="14"/>
      <c r="OV29" s="14"/>
      <c r="OW29" s="14"/>
      <c r="OX29" s="14"/>
      <c r="OY29" s="14"/>
      <c r="OZ29" s="14"/>
      <c r="PA29" s="14"/>
      <c r="PB29" s="14"/>
      <c r="PC29" s="14"/>
      <c r="PD29" s="14"/>
      <c r="PE29" s="14"/>
      <c r="PF29" s="14"/>
      <c r="PG29" s="14"/>
      <c r="PH29" s="14"/>
      <c r="PI29" s="14"/>
      <c r="PJ29" s="14"/>
      <c r="PK29" s="14"/>
      <c r="PL29" s="14"/>
      <c r="PM29" s="14"/>
      <c r="PN29" s="14"/>
      <c r="PO29" s="14"/>
      <c r="PP29" s="14"/>
      <c r="PQ29" s="14"/>
      <c r="PR29" s="14"/>
      <c r="PS29" s="14"/>
      <c r="PT29" s="14"/>
      <c r="PU29" s="14"/>
      <c r="PV29" s="14"/>
      <c r="PW29" s="14"/>
      <c r="PX29" s="14"/>
      <c r="PY29" s="14"/>
      <c r="PZ29" s="14"/>
      <c r="QA29" s="14"/>
      <c r="QB29" s="14"/>
      <c r="QC29" s="14"/>
      <c r="QD29" s="14"/>
      <c r="QE29" s="14"/>
      <c r="QF29" s="14"/>
      <c r="QG29" s="14"/>
      <c r="QH29" s="14"/>
      <c r="QI29" s="14"/>
      <c r="QJ29" s="14"/>
      <c r="QK29" s="14"/>
      <c r="QL29" s="14"/>
      <c r="QM29" s="14"/>
      <c r="QN29" s="14"/>
      <c r="QO29" s="14"/>
      <c r="QP29" s="14"/>
      <c r="QQ29" s="14"/>
      <c r="QR29" s="14"/>
      <c r="QS29" s="14"/>
      <c r="QT29" s="14"/>
      <c r="QU29" s="14"/>
      <c r="QV29" s="14"/>
      <c r="QW29" s="14"/>
      <c r="QX29" s="14"/>
      <c r="QY29" s="14"/>
      <c r="QZ29" s="14"/>
      <c r="RA29" s="14"/>
      <c r="RB29" s="14"/>
      <c r="RC29" s="14"/>
      <c r="RD29" s="14"/>
      <c r="RE29" s="14"/>
      <c r="RF29" s="14"/>
      <c r="RG29" s="14"/>
      <c r="RH29" s="14"/>
      <c r="RI29" s="14"/>
      <c r="RJ29" s="14"/>
      <c r="RK29" s="14"/>
      <c r="RL29" s="14"/>
      <c r="RM29" s="14"/>
      <c r="RN29" s="14"/>
      <c r="RO29" s="14"/>
      <c r="RP29" s="14"/>
      <c r="RQ29" s="14"/>
      <c r="RR29" s="14"/>
      <c r="RS29" s="14"/>
      <c r="RT29" s="14"/>
      <c r="RU29" s="14"/>
      <c r="RV29" s="14"/>
      <c r="RW29" s="14"/>
      <c r="RX29" s="14"/>
      <c r="RY29" s="14"/>
      <c r="RZ29" s="14"/>
      <c r="SA29" s="14"/>
      <c r="SB29" s="14"/>
      <c r="SC29" s="14"/>
    </row>
    <row r="30" spans="1:497" ht="27" customHeight="1" x14ac:dyDescent="0.15">
      <c r="A30" s="10">
        <v>3.5</v>
      </c>
      <c r="B30" s="11" t="s">
        <v>113</v>
      </c>
      <c r="C30" s="12"/>
      <c r="D30" s="12"/>
      <c r="E30" s="95"/>
      <c r="F30" s="93"/>
      <c r="G30" s="96"/>
      <c r="H30" s="14"/>
      <c r="I30" s="14" t="str" cm="1">
        <f t="array" ref="I30">IFERROR(_xlfn._xlws.FILTER(#REF!, (I$9 = $F30)), "")</f>
        <v/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4"/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4"/>
      <c r="HW30" s="14"/>
      <c r="HX30" s="14"/>
      <c r="HY30" s="14"/>
      <c r="HZ30" s="14"/>
      <c r="IA30" s="14"/>
      <c r="IB30" s="14"/>
      <c r="IC30" s="14"/>
      <c r="ID30" s="14"/>
      <c r="IE30" s="14"/>
      <c r="IF30" s="14"/>
      <c r="IG30" s="14"/>
      <c r="IH30" s="14"/>
      <c r="II30" s="14"/>
      <c r="IJ30" s="14"/>
      <c r="IK30" s="14"/>
      <c r="IL30" s="14"/>
      <c r="IM30" s="14"/>
      <c r="IN30" s="14"/>
      <c r="IO30" s="14"/>
      <c r="IP30" s="14"/>
      <c r="IQ30" s="14"/>
      <c r="IR30" s="14"/>
      <c r="IS30" s="14"/>
      <c r="IT30" s="14"/>
      <c r="IU30" s="14"/>
      <c r="IV30" s="14"/>
      <c r="IW30" s="14"/>
      <c r="IX30" s="14"/>
      <c r="IY30" s="14"/>
      <c r="IZ30" s="14"/>
      <c r="JA30" s="14"/>
      <c r="JB30" s="14"/>
      <c r="JC30" s="14"/>
      <c r="JD30" s="14"/>
      <c r="JE30" s="14"/>
      <c r="JF30" s="14"/>
      <c r="JG30" s="14"/>
      <c r="JH30" s="14"/>
      <c r="JI30" s="14"/>
      <c r="JJ30" s="14"/>
      <c r="JK30" s="14"/>
      <c r="JL30" s="14"/>
      <c r="JM30" s="14"/>
      <c r="JN30" s="14"/>
      <c r="JO30" s="14"/>
      <c r="JP30" s="14"/>
      <c r="JQ30" s="14"/>
      <c r="JR30" s="14"/>
      <c r="JS30" s="14"/>
      <c r="JT30" s="14"/>
      <c r="JU30" s="14"/>
      <c r="JV30" s="14"/>
      <c r="JW30" s="14"/>
      <c r="JX30" s="14"/>
      <c r="JY30" s="14"/>
      <c r="JZ30" s="14"/>
      <c r="KA30" s="14"/>
      <c r="KB30" s="14"/>
      <c r="KC30" s="14"/>
      <c r="KD30" s="14"/>
      <c r="KE30" s="14"/>
      <c r="KF30" s="14"/>
      <c r="KG30" s="14"/>
      <c r="KH30" s="14"/>
      <c r="KI30" s="14"/>
      <c r="KJ30" s="14"/>
      <c r="KK30" s="14"/>
      <c r="KL30" s="14"/>
      <c r="KM30" s="14"/>
      <c r="KN30" s="14"/>
      <c r="KO30" s="14"/>
      <c r="KP30" s="14"/>
      <c r="KQ30" s="14"/>
      <c r="KR30" s="14"/>
      <c r="KS30" s="14"/>
      <c r="KT30" s="14"/>
      <c r="KU30" s="14"/>
      <c r="KV30" s="14"/>
      <c r="KW30" s="14"/>
      <c r="KX30" s="14"/>
      <c r="KY30" s="14"/>
      <c r="KZ30" s="14"/>
      <c r="LA30" s="14"/>
      <c r="LB30" s="14"/>
      <c r="LC30" s="14"/>
      <c r="LD30" s="14"/>
      <c r="LE30" s="14"/>
      <c r="LF30" s="14"/>
      <c r="LG30" s="14"/>
      <c r="LH30" s="14"/>
      <c r="LI30" s="14"/>
      <c r="LJ30" s="14"/>
      <c r="LK30" s="14"/>
      <c r="LL30" s="14"/>
      <c r="LM30" s="14"/>
      <c r="LN30" s="14"/>
      <c r="LO30" s="14"/>
      <c r="LP30" s="14"/>
      <c r="LQ30" s="14"/>
      <c r="LR30" s="14"/>
      <c r="LS30" s="14"/>
      <c r="LT30" s="14"/>
      <c r="LU30" s="14"/>
      <c r="LV30" s="14"/>
      <c r="LW30" s="14"/>
      <c r="LX30" s="14"/>
      <c r="LY30" s="14"/>
      <c r="LZ30" s="14"/>
      <c r="MA30" s="14"/>
      <c r="MB30" s="14"/>
      <c r="MC30" s="14"/>
      <c r="MD30" s="14"/>
      <c r="ME30" s="14"/>
      <c r="MF30" s="14"/>
      <c r="MG30" s="14"/>
      <c r="MH30" s="14"/>
      <c r="MI30" s="14"/>
      <c r="MJ30" s="14"/>
      <c r="MK30" s="14"/>
      <c r="ML30" s="14"/>
      <c r="MM30" s="14"/>
      <c r="MN30" s="14"/>
      <c r="MO30" s="14"/>
      <c r="MP30" s="14"/>
      <c r="MQ30" s="14"/>
      <c r="MR30" s="14"/>
      <c r="MS30" s="14"/>
      <c r="MT30" s="14"/>
      <c r="MU30" s="14"/>
      <c r="MV30" s="14"/>
      <c r="MW30" s="14"/>
      <c r="MX30" s="14"/>
      <c r="MY30" s="14"/>
      <c r="MZ30" s="14"/>
      <c r="NA30" s="14"/>
      <c r="NB30" s="14"/>
      <c r="NC30" s="14"/>
      <c r="ND30" s="14"/>
      <c r="NE30" s="14"/>
      <c r="NF30" s="14"/>
      <c r="NG30" s="14"/>
      <c r="NH30" s="14"/>
      <c r="NI30" s="14"/>
      <c r="NJ30" s="14"/>
      <c r="NK30" s="14"/>
      <c r="NL30" s="14"/>
      <c r="NM30" s="14"/>
      <c r="NN30" s="14"/>
      <c r="NO30" s="14"/>
      <c r="NP30" s="14"/>
      <c r="NQ30" s="14"/>
      <c r="NR30" s="14"/>
      <c r="NS30" s="14"/>
      <c r="NT30" s="14"/>
      <c r="NU30" s="14"/>
      <c r="NV30" s="14"/>
      <c r="NW30" s="14"/>
      <c r="NX30" s="14"/>
      <c r="NY30" s="14"/>
      <c r="NZ30" s="14"/>
      <c r="OA30" s="14"/>
      <c r="OB30" s="14"/>
      <c r="OC30" s="14"/>
      <c r="OD30" s="14"/>
      <c r="OE30" s="14"/>
      <c r="OF30" s="14"/>
      <c r="OG30" s="14"/>
      <c r="OH30" s="14"/>
      <c r="OI30" s="14"/>
      <c r="OJ30" s="14"/>
      <c r="OK30" s="14"/>
      <c r="OL30" s="14"/>
      <c r="OM30" s="14"/>
      <c r="ON30" s="14"/>
      <c r="OO30" s="14"/>
      <c r="OP30" s="14"/>
      <c r="OQ30" s="14"/>
      <c r="OR30" s="14"/>
      <c r="OS30" s="14"/>
      <c r="OT30" s="14"/>
      <c r="OU30" s="14"/>
      <c r="OV30" s="14"/>
      <c r="OW30" s="14"/>
      <c r="OX30" s="14"/>
      <c r="OY30" s="14"/>
      <c r="OZ30" s="14"/>
      <c r="PA30" s="14"/>
      <c r="PB30" s="14"/>
      <c r="PC30" s="14"/>
      <c r="PD30" s="14"/>
      <c r="PE30" s="14"/>
      <c r="PF30" s="14"/>
      <c r="PG30" s="14"/>
      <c r="PH30" s="14"/>
      <c r="PI30" s="14"/>
      <c r="PJ30" s="14"/>
      <c r="PK30" s="14"/>
      <c r="PL30" s="14"/>
      <c r="PM30" s="14"/>
      <c r="PN30" s="14"/>
      <c r="PO30" s="14"/>
      <c r="PP30" s="14"/>
      <c r="PQ30" s="14"/>
      <c r="PR30" s="14"/>
      <c r="PS30" s="14"/>
      <c r="PT30" s="14"/>
      <c r="PU30" s="14"/>
      <c r="PV30" s="14"/>
      <c r="PW30" s="14"/>
      <c r="PX30" s="14"/>
      <c r="PY30" s="14"/>
      <c r="PZ30" s="14"/>
      <c r="QA30" s="14"/>
      <c r="QB30" s="14"/>
      <c r="QC30" s="14"/>
      <c r="QD30" s="14"/>
      <c r="QE30" s="14"/>
      <c r="QF30" s="14"/>
      <c r="QG30" s="14"/>
      <c r="QH30" s="14"/>
      <c r="QI30" s="14"/>
      <c r="QJ30" s="14"/>
      <c r="QK30" s="14"/>
      <c r="QL30" s="14"/>
      <c r="QM30" s="14"/>
      <c r="QN30" s="14"/>
      <c r="QO30" s="14"/>
      <c r="QP30" s="14"/>
      <c r="QQ30" s="14"/>
      <c r="QR30" s="14"/>
      <c r="QS30" s="14"/>
      <c r="QT30" s="14"/>
      <c r="QU30" s="14"/>
      <c r="QV30" s="14"/>
      <c r="QW30" s="14"/>
      <c r="QX30" s="14"/>
      <c r="QY30" s="14"/>
      <c r="QZ30" s="14"/>
      <c r="RA30" s="14"/>
      <c r="RB30" s="14"/>
      <c r="RC30" s="14"/>
      <c r="RD30" s="14"/>
      <c r="RE30" s="14"/>
      <c r="RF30" s="14"/>
      <c r="RG30" s="14"/>
      <c r="RH30" s="14"/>
      <c r="RI30" s="14"/>
      <c r="RJ30" s="14"/>
      <c r="RK30" s="14"/>
      <c r="RL30" s="14"/>
      <c r="RM30" s="14"/>
      <c r="RN30" s="14"/>
      <c r="RO30" s="14"/>
      <c r="RP30" s="14"/>
      <c r="RQ30" s="14"/>
      <c r="RR30" s="14"/>
      <c r="RS30" s="14"/>
      <c r="RT30" s="14"/>
      <c r="RU30" s="14"/>
      <c r="RV30" s="14"/>
      <c r="RW30" s="14"/>
      <c r="RX30" s="14"/>
      <c r="RY30" s="14"/>
      <c r="RZ30" s="14"/>
      <c r="SA30" s="14"/>
      <c r="SB30" s="14"/>
      <c r="SC30" s="14"/>
    </row>
    <row r="31" spans="1:497" ht="27" customHeight="1" thickTop="1" thickBot="1" x14ac:dyDescent="0.2">
      <c r="A31" s="10">
        <v>3.6</v>
      </c>
      <c r="B31" s="11" t="s">
        <v>108</v>
      </c>
      <c r="C31" s="12"/>
      <c r="D31" s="12"/>
      <c r="E31" s="95"/>
      <c r="F31" s="93"/>
      <c r="G31" s="96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14"/>
      <c r="IM31" s="14"/>
      <c r="IN31" s="14"/>
      <c r="IO31" s="14"/>
      <c r="IP31" s="14"/>
      <c r="IQ31" s="14"/>
      <c r="IR31" s="14"/>
      <c r="IS31" s="14"/>
      <c r="IT31" s="14"/>
      <c r="IU31" s="14"/>
      <c r="IV31" s="14"/>
      <c r="IW31" s="14"/>
      <c r="IX31" s="14"/>
      <c r="IY31" s="14"/>
      <c r="IZ31" s="14"/>
      <c r="JA31" s="14"/>
      <c r="JB31" s="14"/>
      <c r="JC31" s="14"/>
      <c r="JD31" s="14"/>
      <c r="JE31" s="14"/>
      <c r="JF31" s="14"/>
      <c r="JG31" s="14"/>
      <c r="JH31" s="14"/>
      <c r="JI31" s="14"/>
      <c r="JJ31" s="14"/>
      <c r="JK31" s="14"/>
      <c r="JL31" s="14"/>
      <c r="JM31" s="14"/>
      <c r="JN31" s="14"/>
      <c r="JO31" s="14"/>
      <c r="JP31" s="14"/>
      <c r="JQ31" s="14"/>
      <c r="JR31" s="14"/>
      <c r="JS31" s="14"/>
      <c r="JT31" s="14"/>
      <c r="JU31" s="14"/>
      <c r="JV31" s="14"/>
      <c r="JW31" s="14"/>
      <c r="JX31" s="14"/>
      <c r="JY31" s="14"/>
      <c r="JZ31" s="14"/>
      <c r="KA31" s="14"/>
      <c r="KB31" s="14"/>
      <c r="KC31" s="14"/>
      <c r="KD31" s="14"/>
      <c r="KE31" s="14"/>
      <c r="KF31" s="14"/>
      <c r="KG31" s="14"/>
      <c r="KH31" s="14"/>
      <c r="KI31" s="14"/>
      <c r="KJ31" s="14"/>
      <c r="KK31" s="14"/>
      <c r="KL31" s="14"/>
      <c r="KM31" s="14"/>
      <c r="KN31" s="14"/>
      <c r="KO31" s="14"/>
      <c r="KP31" s="14"/>
      <c r="KQ31" s="14"/>
      <c r="KR31" s="14"/>
      <c r="KS31" s="14"/>
      <c r="KT31" s="14"/>
      <c r="KU31" s="14"/>
      <c r="KV31" s="14"/>
      <c r="KW31" s="14"/>
      <c r="KX31" s="14"/>
      <c r="KY31" s="14"/>
      <c r="KZ31" s="14"/>
      <c r="LA31" s="14"/>
      <c r="LB31" s="14"/>
      <c r="LC31" s="14"/>
      <c r="LD31" s="14"/>
      <c r="LE31" s="14"/>
      <c r="LF31" s="14"/>
      <c r="LG31" s="14"/>
      <c r="LH31" s="14"/>
      <c r="LI31" s="14"/>
      <c r="LJ31" s="14"/>
      <c r="LK31" s="14"/>
      <c r="LL31" s="14"/>
      <c r="LM31" s="14"/>
      <c r="LN31" s="14"/>
      <c r="LO31" s="14"/>
      <c r="LP31" s="14"/>
      <c r="LQ31" s="14"/>
      <c r="LR31" s="14"/>
      <c r="LS31" s="14"/>
      <c r="LT31" s="14"/>
      <c r="LU31" s="14"/>
      <c r="LV31" s="14"/>
      <c r="LW31" s="14"/>
      <c r="LX31" s="14"/>
      <c r="LY31" s="14"/>
      <c r="LZ31" s="14"/>
      <c r="MA31" s="14"/>
      <c r="MB31" s="14"/>
      <c r="MC31" s="14"/>
      <c r="MD31" s="14"/>
      <c r="ME31" s="14"/>
      <c r="MF31" s="14"/>
      <c r="MG31" s="14"/>
      <c r="MH31" s="14"/>
      <c r="MI31" s="14"/>
      <c r="MJ31" s="14"/>
      <c r="MK31" s="14"/>
      <c r="ML31" s="14"/>
      <c r="MM31" s="14"/>
      <c r="MN31" s="14"/>
      <c r="MO31" s="14"/>
      <c r="MP31" s="14"/>
      <c r="MQ31" s="14"/>
      <c r="MR31" s="14"/>
      <c r="MS31" s="14"/>
      <c r="MT31" s="14"/>
      <c r="MU31" s="14"/>
      <c r="MV31" s="14"/>
      <c r="MW31" s="14"/>
      <c r="MX31" s="14"/>
      <c r="MY31" s="14"/>
      <c r="MZ31" s="14"/>
      <c r="NA31" s="14"/>
      <c r="NB31" s="14"/>
      <c r="NC31" s="14"/>
      <c r="ND31" s="14"/>
      <c r="NE31" s="14"/>
      <c r="NF31" s="14"/>
      <c r="NG31" s="14"/>
      <c r="NH31" s="14"/>
      <c r="NI31" s="14"/>
      <c r="NJ31" s="14"/>
      <c r="NK31" s="14"/>
      <c r="NL31" s="14"/>
      <c r="NM31" s="14"/>
      <c r="NN31" s="14"/>
      <c r="NO31" s="14"/>
      <c r="NP31" s="14"/>
      <c r="NQ31" s="14"/>
      <c r="NR31" s="14"/>
      <c r="NS31" s="14"/>
      <c r="NT31" s="14"/>
      <c r="NU31" s="14"/>
      <c r="NV31" s="14"/>
      <c r="NW31" s="14"/>
      <c r="NX31" s="14"/>
      <c r="NY31" s="14"/>
      <c r="NZ31" s="14"/>
      <c r="OA31" s="14"/>
      <c r="OB31" s="14"/>
      <c r="OC31" s="14"/>
      <c r="OD31" s="14"/>
      <c r="OE31" s="14"/>
      <c r="OF31" s="14"/>
      <c r="OG31" s="14"/>
      <c r="OH31" s="14"/>
      <c r="OI31" s="14"/>
      <c r="OJ31" s="14"/>
      <c r="OK31" s="14"/>
      <c r="OL31" s="14"/>
      <c r="OM31" s="14"/>
      <c r="ON31" s="14"/>
      <c r="OO31" s="14"/>
      <c r="OP31" s="14"/>
      <c r="OQ31" s="14"/>
      <c r="OR31" s="14"/>
      <c r="OS31" s="14"/>
      <c r="OT31" s="14"/>
      <c r="OU31" s="14"/>
      <c r="OV31" s="14"/>
      <c r="OW31" s="14"/>
      <c r="OX31" s="14"/>
      <c r="OY31" s="14"/>
      <c r="OZ31" s="14"/>
      <c r="PA31" s="14"/>
      <c r="PB31" s="14"/>
      <c r="PC31" s="14"/>
      <c r="PD31" s="14"/>
      <c r="PE31" s="14"/>
      <c r="PF31" s="14"/>
      <c r="PG31" s="14"/>
      <c r="PH31" s="14"/>
      <c r="PI31" s="14"/>
      <c r="PJ31" s="14"/>
      <c r="PK31" s="14"/>
      <c r="PL31" s="14"/>
      <c r="PM31" s="14"/>
      <c r="PN31" s="14"/>
      <c r="PO31" s="14"/>
      <c r="PP31" s="14"/>
      <c r="PQ31" s="14"/>
      <c r="PR31" s="14"/>
      <c r="PS31" s="14"/>
      <c r="PT31" s="14"/>
      <c r="PU31" s="14"/>
      <c r="PV31" s="14"/>
      <c r="PW31" s="14"/>
      <c r="PX31" s="14"/>
      <c r="PY31" s="14"/>
      <c r="PZ31" s="14"/>
      <c r="QA31" s="14"/>
      <c r="QB31" s="14"/>
      <c r="QC31" s="14"/>
      <c r="QD31" s="14"/>
      <c r="QE31" s="14"/>
      <c r="QF31" s="14"/>
      <c r="QG31" s="14"/>
      <c r="QH31" s="14"/>
      <c r="QI31" s="14"/>
      <c r="QJ31" s="14"/>
      <c r="QK31" s="14"/>
      <c r="QL31" s="14"/>
      <c r="QM31" s="14"/>
      <c r="QN31" s="14"/>
      <c r="QO31" s="14"/>
      <c r="QP31" s="14"/>
      <c r="QQ31" s="14"/>
      <c r="QR31" s="14"/>
      <c r="QS31" s="14"/>
      <c r="QT31" s="14"/>
      <c r="QU31" s="14"/>
      <c r="QV31" s="14"/>
      <c r="QW31" s="14"/>
      <c r="QX31" s="14"/>
      <c r="QY31" s="14"/>
      <c r="QZ31" s="14"/>
      <c r="RA31" s="14"/>
      <c r="RB31" s="14"/>
      <c r="RC31" s="14"/>
      <c r="RD31" s="14"/>
      <c r="RE31" s="14"/>
      <c r="RF31" s="14"/>
      <c r="RG31" s="14"/>
      <c r="RH31" s="14"/>
      <c r="RI31" s="14"/>
      <c r="RJ31" s="14"/>
      <c r="RK31" s="14"/>
      <c r="RL31" s="14"/>
      <c r="RM31" s="14"/>
      <c r="RN31" s="14"/>
      <c r="RO31" s="14"/>
      <c r="RP31" s="14"/>
      <c r="RQ31" s="14"/>
      <c r="RR31" s="14"/>
      <c r="RS31" s="14"/>
      <c r="RT31" s="14"/>
      <c r="RU31" s="14"/>
      <c r="RV31" s="14"/>
      <c r="RW31" s="14"/>
      <c r="RX31" s="14"/>
      <c r="RY31" s="14"/>
      <c r="RZ31" s="14"/>
      <c r="SA31" s="14"/>
      <c r="SB31" s="14"/>
      <c r="SC31" s="14"/>
    </row>
    <row r="32" spans="1:497" ht="27" customHeight="1" thickTop="1" thickBot="1" x14ac:dyDescent="0.2">
      <c r="A32" s="129" t="s">
        <v>114</v>
      </c>
      <c r="B32" s="130"/>
      <c r="C32" s="15"/>
      <c r="D32" s="15"/>
      <c r="E32" s="16"/>
      <c r="F32" s="98"/>
      <c r="G32" s="91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4"/>
      <c r="HA32" s="14"/>
      <c r="HB32" s="14"/>
      <c r="HC32" s="14"/>
      <c r="HD32" s="14"/>
      <c r="HE32" s="14"/>
      <c r="HF32" s="14"/>
      <c r="HG32" s="14"/>
      <c r="HH32" s="14"/>
      <c r="HI32" s="14"/>
      <c r="HJ32" s="14"/>
      <c r="HK32" s="14"/>
      <c r="HL32" s="14"/>
      <c r="HM32" s="14"/>
      <c r="HN32" s="14"/>
      <c r="HO32" s="14"/>
      <c r="HP32" s="14"/>
      <c r="HQ32" s="14"/>
      <c r="HR32" s="14"/>
      <c r="HS32" s="14"/>
      <c r="HT32" s="14"/>
      <c r="HU32" s="14"/>
      <c r="HV32" s="14"/>
      <c r="HW32" s="14"/>
      <c r="HX32" s="14"/>
      <c r="HY32" s="14"/>
      <c r="HZ32" s="14"/>
      <c r="IA32" s="14"/>
      <c r="IB32" s="14"/>
      <c r="IC32" s="14"/>
      <c r="ID32" s="14"/>
      <c r="IE32" s="14"/>
      <c r="IF32" s="14"/>
      <c r="IG32" s="14"/>
      <c r="IH32" s="14"/>
      <c r="II32" s="14"/>
      <c r="IJ32" s="14"/>
      <c r="IK32" s="14"/>
      <c r="IL32" s="14"/>
      <c r="IM32" s="14"/>
      <c r="IN32" s="14"/>
      <c r="IO32" s="14"/>
      <c r="IP32" s="14"/>
      <c r="IQ32" s="14"/>
      <c r="IR32" s="14"/>
      <c r="IS32" s="14"/>
      <c r="IT32" s="14"/>
      <c r="IU32" s="14"/>
      <c r="IV32" s="14"/>
      <c r="IW32" s="14"/>
      <c r="IX32" s="14"/>
      <c r="IY32" s="14"/>
      <c r="IZ32" s="14"/>
      <c r="JA32" s="14"/>
      <c r="JB32" s="14"/>
      <c r="JC32" s="14"/>
      <c r="JD32" s="14"/>
      <c r="JE32" s="14"/>
      <c r="JF32" s="14"/>
      <c r="JG32" s="14"/>
      <c r="JH32" s="14"/>
      <c r="JI32" s="14"/>
      <c r="JJ32" s="14"/>
      <c r="JK32" s="14"/>
      <c r="JL32" s="14"/>
      <c r="JM32" s="14"/>
      <c r="JN32" s="14"/>
      <c r="JO32" s="14"/>
      <c r="JP32" s="14"/>
      <c r="JQ32" s="14"/>
      <c r="JR32" s="14"/>
      <c r="JS32" s="14"/>
      <c r="JT32" s="14"/>
      <c r="JU32" s="14"/>
      <c r="JV32" s="14"/>
      <c r="JW32" s="14"/>
      <c r="JX32" s="14"/>
      <c r="JY32" s="14"/>
      <c r="JZ32" s="14"/>
      <c r="KA32" s="14"/>
      <c r="KB32" s="14"/>
      <c r="KC32" s="14"/>
      <c r="KD32" s="14"/>
      <c r="KE32" s="14"/>
      <c r="KF32" s="14"/>
      <c r="KG32" s="14"/>
      <c r="KH32" s="14"/>
      <c r="KI32" s="14"/>
      <c r="KJ32" s="14"/>
      <c r="KK32" s="14"/>
      <c r="KL32" s="14"/>
      <c r="KM32" s="14"/>
      <c r="KN32" s="14"/>
      <c r="KO32" s="14"/>
      <c r="KP32" s="14"/>
      <c r="KQ32" s="14"/>
      <c r="KR32" s="14"/>
      <c r="KS32" s="14"/>
      <c r="KT32" s="14"/>
      <c r="KU32" s="14"/>
      <c r="KV32" s="14"/>
      <c r="KW32" s="14"/>
      <c r="KX32" s="14"/>
      <c r="KY32" s="14"/>
      <c r="KZ32" s="14"/>
      <c r="LA32" s="14"/>
      <c r="LB32" s="14"/>
      <c r="LC32" s="14"/>
      <c r="LD32" s="14"/>
      <c r="LE32" s="14"/>
      <c r="LF32" s="14"/>
      <c r="LG32" s="14"/>
      <c r="LH32" s="14"/>
      <c r="LI32" s="14"/>
      <c r="LJ32" s="14"/>
      <c r="LK32" s="14"/>
      <c r="LL32" s="14"/>
      <c r="LM32" s="14"/>
      <c r="LN32" s="14"/>
      <c r="LO32" s="14"/>
      <c r="LP32" s="14"/>
      <c r="LQ32" s="14"/>
      <c r="LR32" s="14"/>
      <c r="LS32" s="14"/>
      <c r="LT32" s="14"/>
      <c r="LU32" s="14"/>
      <c r="LV32" s="14"/>
      <c r="LW32" s="14"/>
      <c r="LX32" s="14"/>
      <c r="LY32" s="14"/>
      <c r="LZ32" s="14"/>
      <c r="MA32" s="14"/>
      <c r="MB32" s="14"/>
      <c r="MC32" s="14"/>
      <c r="MD32" s="14"/>
      <c r="ME32" s="14"/>
      <c r="MF32" s="14"/>
      <c r="MG32" s="14"/>
      <c r="MH32" s="14"/>
      <c r="MI32" s="14"/>
      <c r="MJ32" s="14"/>
      <c r="MK32" s="14"/>
      <c r="ML32" s="14"/>
      <c r="MM32" s="14"/>
      <c r="MN32" s="14"/>
      <c r="MO32" s="14"/>
      <c r="MP32" s="14"/>
      <c r="MQ32" s="14"/>
      <c r="MR32" s="14"/>
      <c r="MS32" s="14"/>
      <c r="MT32" s="14"/>
      <c r="MU32" s="14"/>
      <c r="MV32" s="14"/>
      <c r="MW32" s="14"/>
      <c r="MX32" s="14"/>
      <c r="MY32" s="14"/>
      <c r="MZ32" s="14"/>
      <c r="NA32" s="14"/>
      <c r="NB32" s="14"/>
      <c r="NC32" s="14"/>
      <c r="ND32" s="14"/>
      <c r="NE32" s="14"/>
      <c r="NF32" s="14"/>
      <c r="NG32" s="14"/>
      <c r="NH32" s="14"/>
      <c r="NI32" s="14"/>
      <c r="NJ32" s="14"/>
      <c r="NK32" s="14"/>
      <c r="NL32" s="14"/>
      <c r="NM32" s="14"/>
      <c r="NN32" s="14"/>
      <c r="NO32" s="14"/>
      <c r="NP32" s="14"/>
      <c r="NQ32" s="14"/>
      <c r="NR32" s="14"/>
      <c r="NS32" s="14"/>
      <c r="NT32" s="14"/>
      <c r="NU32" s="14"/>
      <c r="NV32" s="14"/>
      <c r="NW32" s="14"/>
      <c r="NX32" s="14"/>
      <c r="NY32" s="14"/>
      <c r="NZ32" s="14"/>
      <c r="OA32" s="14"/>
      <c r="OB32" s="14"/>
      <c r="OC32" s="14"/>
      <c r="OD32" s="14"/>
      <c r="OE32" s="14"/>
      <c r="OF32" s="14"/>
      <c r="OG32" s="14"/>
      <c r="OH32" s="14"/>
      <c r="OI32" s="14"/>
      <c r="OJ32" s="14"/>
      <c r="OK32" s="14"/>
      <c r="OL32" s="14"/>
      <c r="OM32" s="14"/>
      <c r="ON32" s="14"/>
      <c r="OO32" s="14"/>
      <c r="OP32" s="14"/>
      <c r="OQ32" s="14"/>
      <c r="OR32" s="14"/>
      <c r="OS32" s="14"/>
      <c r="OT32" s="14"/>
      <c r="OU32" s="14"/>
      <c r="OV32" s="14"/>
      <c r="OW32" s="14"/>
      <c r="OX32" s="14"/>
      <c r="OY32" s="14"/>
      <c r="OZ32" s="14"/>
      <c r="PA32" s="14"/>
      <c r="PB32" s="14"/>
      <c r="PC32" s="14"/>
      <c r="PD32" s="14"/>
      <c r="PE32" s="14"/>
      <c r="PF32" s="14"/>
      <c r="PG32" s="14"/>
      <c r="PH32" s="14"/>
      <c r="PI32" s="14"/>
      <c r="PJ32" s="14"/>
      <c r="PK32" s="14"/>
      <c r="PL32" s="14"/>
      <c r="PM32" s="14"/>
      <c r="PN32" s="14"/>
      <c r="PO32" s="14"/>
      <c r="PP32" s="14"/>
      <c r="PQ32" s="14"/>
      <c r="PR32" s="14"/>
      <c r="PS32" s="14"/>
      <c r="PT32" s="14"/>
      <c r="PU32" s="14"/>
      <c r="PV32" s="14"/>
      <c r="PW32" s="14"/>
      <c r="PX32" s="14"/>
      <c r="PY32" s="14"/>
      <c r="PZ32" s="14"/>
      <c r="QA32" s="14"/>
      <c r="QB32" s="14"/>
      <c r="QC32" s="14"/>
      <c r="QD32" s="14"/>
      <c r="QE32" s="14"/>
      <c r="QF32" s="14"/>
      <c r="QG32" s="14"/>
      <c r="QH32" s="14"/>
      <c r="QI32" s="14"/>
      <c r="QJ32" s="14"/>
      <c r="QK32" s="14"/>
      <c r="QL32" s="14"/>
      <c r="QM32" s="14"/>
      <c r="QN32" s="14"/>
      <c r="QO32" s="14"/>
      <c r="QP32" s="14"/>
      <c r="QQ32" s="14"/>
      <c r="QR32" s="14"/>
      <c r="QS32" s="14"/>
      <c r="QT32" s="14"/>
      <c r="QU32" s="14"/>
      <c r="QV32" s="14"/>
      <c r="QW32" s="14"/>
      <c r="QX32" s="14"/>
      <c r="QY32" s="14"/>
      <c r="QZ32" s="14"/>
      <c r="RA32" s="14"/>
      <c r="RB32" s="14"/>
      <c r="RC32" s="14"/>
      <c r="RD32" s="14"/>
      <c r="RE32" s="14"/>
      <c r="RF32" s="14"/>
      <c r="RG32" s="14"/>
      <c r="RH32" s="14"/>
      <c r="RI32" s="14"/>
      <c r="RJ32" s="14"/>
      <c r="RK32" s="14"/>
      <c r="RL32" s="14"/>
      <c r="RM32" s="14"/>
      <c r="RN32" s="14"/>
      <c r="RO32" s="14"/>
      <c r="RP32" s="14"/>
      <c r="RQ32" s="14"/>
      <c r="RR32" s="14"/>
      <c r="RS32" s="14"/>
      <c r="RT32" s="14"/>
      <c r="RU32" s="14"/>
      <c r="RV32" s="14"/>
      <c r="RW32" s="14"/>
      <c r="RX32" s="14"/>
      <c r="RY32" s="14"/>
      <c r="RZ32" s="14"/>
      <c r="SA32" s="14"/>
      <c r="SB32" s="14"/>
      <c r="SC32" s="14"/>
    </row>
    <row r="33" spans="1:497" ht="27" customHeight="1" x14ac:dyDescent="0.15">
      <c r="A33" s="10">
        <v>4.0999999999999996</v>
      </c>
      <c r="B33" s="11" t="s">
        <v>110</v>
      </c>
      <c r="C33" s="12"/>
      <c r="D33" s="12"/>
      <c r="E33" s="95"/>
      <c r="F33" s="93"/>
      <c r="G33" s="96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4"/>
      <c r="HW33" s="14"/>
      <c r="HX33" s="14"/>
      <c r="HY33" s="14"/>
      <c r="HZ33" s="14"/>
      <c r="IA33" s="14"/>
      <c r="IB33" s="14"/>
      <c r="IC33" s="14"/>
      <c r="ID33" s="14"/>
      <c r="IE33" s="14"/>
      <c r="IF33" s="14"/>
      <c r="IG33" s="14"/>
      <c r="IH33" s="14"/>
      <c r="II33" s="14"/>
      <c r="IJ33" s="14"/>
      <c r="IK33" s="14"/>
      <c r="IL33" s="14"/>
      <c r="IM33" s="14"/>
      <c r="IN33" s="14"/>
      <c r="IO33" s="14"/>
      <c r="IP33" s="14"/>
      <c r="IQ33" s="14"/>
      <c r="IR33" s="14"/>
      <c r="IS33" s="14"/>
      <c r="IT33" s="14"/>
      <c r="IU33" s="14"/>
      <c r="IV33" s="14"/>
      <c r="IW33" s="14"/>
      <c r="IX33" s="14"/>
      <c r="IY33" s="14"/>
      <c r="IZ33" s="14"/>
      <c r="JA33" s="14"/>
      <c r="JB33" s="14"/>
      <c r="JC33" s="14"/>
      <c r="JD33" s="14"/>
      <c r="JE33" s="14"/>
      <c r="JF33" s="14"/>
      <c r="JG33" s="14"/>
      <c r="JH33" s="14"/>
      <c r="JI33" s="14"/>
      <c r="JJ33" s="14"/>
      <c r="JK33" s="14"/>
      <c r="JL33" s="14"/>
      <c r="JM33" s="14"/>
      <c r="JN33" s="14"/>
      <c r="JO33" s="14"/>
      <c r="JP33" s="14"/>
      <c r="JQ33" s="14"/>
      <c r="JR33" s="14"/>
      <c r="JS33" s="14"/>
      <c r="JT33" s="14"/>
      <c r="JU33" s="14"/>
      <c r="JV33" s="14"/>
      <c r="JW33" s="14"/>
      <c r="JX33" s="14"/>
      <c r="JY33" s="14"/>
      <c r="JZ33" s="14"/>
      <c r="KA33" s="14"/>
      <c r="KB33" s="14"/>
      <c r="KC33" s="14"/>
      <c r="KD33" s="14"/>
      <c r="KE33" s="14"/>
      <c r="KF33" s="14"/>
      <c r="KG33" s="14"/>
      <c r="KH33" s="14"/>
      <c r="KI33" s="14"/>
      <c r="KJ33" s="14"/>
      <c r="KK33" s="14"/>
      <c r="KL33" s="14"/>
      <c r="KM33" s="14"/>
      <c r="KN33" s="14"/>
      <c r="KO33" s="14"/>
      <c r="KP33" s="14"/>
      <c r="KQ33" s="14"/>
      <c r="KR33" s="14"/>
      <c r="KS33" s="14"/>
      <c r="KT33" s="14"/>
      <c r="KU33" s="14"/>
      <c r="KV33" s="14"/>
      <c r="KW33" s="14"/>
      <c r="KX33" s="14"/>
      <c r="KY33" s="14"/>
      <c r="KZ33" s="14"/>
      <c r="LA33" s="14"/>
      <c r="LB33" s="14"/>
      <c r="LC33" s="14"/>
      <c r="LD33" s="14"/>
      <c r="LE33" s="14"/>
      <c r="LF33" s="14"/>
      <c r="LG33" s="14"/>
      <c r="LH33" s="14"/>
      <c r="LI33" s="14"/>
      <c r="LJ33" s="14"/>
      <c r="LK33" s="14"/>
      <c r="LL33" s="14"/>
      <c r="LM33" s="14"/>
      <c r="LN33" s="14"/>
      <c r="LO33" s="14"/>
      <c r="LP33" s="14"/>
      <c r="LQ33" s="14"/>
      <c r="LR33" s="14"/>
      <c r="LS33" s="14"/>
      <c r="LT33" s="14"/>
      <c r="LU33" s="14"/>
      <c r="LV33" s="14"/>
      <c r="LW33" s="14"/>
      <c r="LX33" s="14"/>
      <c r="LY33" s="14"/>
      <c r="LZ33" s="14"/>
      <c r="MA33" s="14"/>
      <c r="MB33" s="14"/>
      <c r="MC33" s="14"/>
      <c r="MD33" s="14"/>
      <c r="ME33" s="14"/>
      <c r="MF33" s="14"/>
      <c r="MG33" s="14"/>
      <c r="MH33" s="14"/>
      <c r="MI33" s="14"/>
      <c r="MJ33" s="14"/>
      <c r="MK33" s="14"/>
      <c r="ML33" s="14"/>
      <c r="MM33" s="14"/>
      <c r="MN33" s="14"/>
      <c r="MO33" s="14"/>
      <c r="MP33" s="14"/>
      <c r="MQ33" s="14"/>
      <c r="MR33" s="14"/>
      <c r="MS33" s="14"/>
      <c r="MT33" s="14"/>
      <c r="MU33" s="14"/>
      <c r="MV33" s="14"/>
      <c r="MW33" s="14"/>
      <c r="MX33" s="14"/>
      <c r="MY33" s="14"/>
      <c r="MZ33" s="14"/>
      <c r="NA33" s="14"/>
      <c r="NB33" s="14"/>
      <c r="NC33" s="14"/>
      <c r="ND33" s="14"/>
      <c r="NE33" s="14"/>
      <c r="NF33" s="14"/>
      <c r="NG33" s="14"/>
      <c r="NH33" s="14"/>
      <c r="NI33" s="14"/>
      <c r="NJ33" s="14"/>
      <c r="NK33" s="14"/>
      <c r="NL33" s="14"/>
      <c r="NM33" s="14"/>
      <c r="NN33" s="14"/>
      <c r="NO33" s="14"/>
      <c r="NP33" s="14"/>
      <c r="NQ33" s="14"/>
      <c r="NR33" s="14"/>
      <c r="NS33" s="14"/>
      <c r="NT33" s="14"/>
      <c r="NU33" s="14"/>
      <c r="NV33" s="14"/>
      <c r="NW33" s="14"/>
      <c r="NX33" s="14"/>
      <c r="NY33" s="14"/>
      <c r="NZ33" s="14"/>
      <c r="OA33" s="14"/>
      <c r="OB33" s="14"/>
      <c r="OC33" s="14"/>
      <c r="OD33" s="14"/>
      <c r="OE33" s="14"/>
      <c r="OF33" s="14"/>
      <c r="OG33" s="14"/>
      <c r="OH33" s="14"/>
      <c r="OI33" s="14"/>
      <c r="OJ33" s="14"/>
      <c r="OK33" s="14"/>
      <c r="OL33" s="14"/>
      <c r="OM33" s="14"/>
      <c r="ON33" s="14"/>
      <c r="OO33" s="14"/>
      <c r="OP33" s="14"/>
      <c r="OQ33" s="14"/>
      <c r="OR33" s="14"/>
      <c r="OS33" s="14"/>
      <c r="OT33" s="14"/>
      <c r="OU33" s="14"/>
      <c r="OV33" s="14"/>
      <c r="OW33" s="14"/>
      <c r="OX33" s="14"/>
      <c r="OY33" s="14"/>
      <c r="OZ33" s="14"/>
      <c r="PA33" s="14"/>
      <c r="PB33" s="14"/>
      <c r="PC33" s="14"/>
      <c r="PD33" s="14"/>
      <c r="PE33" s="14"/>
      <c r="PF33" s="14"/>
      <c r="PG33" s="14"/>
      <c r="PH33" s="14"/>
      <c r="PI33" s="14"/>
      <c r="PJ33" s="14"/>
      <c r="PK33" s="14"/>
      <c r="PL33" s="14"/>
      <c r="PM33" s="14"/>
      <c r="PN33" s="14"/>
      <c r="PO33" s="14"/>
      <c r="PP33" s="14"/>
      <c r="PQ33" s="14"/>
      <c r="PR33" s="14"/>
      <c r="PS33" s="14"/>
      <c r="PT33" s="14"/>
      <c r="PU33" s="14"/>
      <c r="PV33" s="14"/>
      <c r="PW33" s="14"/>
      <c r="PX33" s="14"/>
      <c r="PY33" s="14"/>
      <c r="PZ33" s="14"/>
      <c r="QA33" s="14"/>
      <c r="QB33" s="14"/>
      <c r="QC33" s="14"/>
      <c r="QD33" s="14"/>
      <c r="QE33" s="14"/>
      <c r="QF33" s="14"/>
      <c r="QG33" s="14"/>
      <c r="QH33" s="14"/>
      <c r="QI33" s="14"/>
      <c r="QJ33" s="14"/>
      <c r="QK33" s="14"/>
      <c r="QL33" s="14"/>
      <c r="QM33" s="14"/>
      <c r="QN33" s="14"/>
      <c r="QO33" s="14"/>
      <c r="QP33" s="14"/>
      <c r="QQ33" s="14"/>
      <c r="QR33" s="14"/>
      <c r="QS33" s="14"/>
      <c r="QT33" s="14"/>
      <c r="QU33" s="14"/>
      <c r="QV33" s="14"/>
      <c r="QW33" s="14"/>
      <c r="QX33" s="14"/>
      <c r="QY33" s="14"/>
      <c r="QZ33" s="14"/>
      <c r="RA33" s="14"/>
      <c r="RB33" s="14"/>
      <c r="RC33" s="14"/>
      <c r="RD33" s="14"/>
      <c r="RE33" s="14"/>
      <c r="RF33" s="14"/>
      <c r="RG33" s="14"/>
      <c r="RH33" s="14"/>
      <c r="RI33" s="14"/>
      <c r="RJ33" s="14"/>
      <c r="RK33" s="14"/>
      <c r="RL33" s="14"/>
      <c r="RM33" s="14"/>
      <c r="RN33" s="14"/>
      <c r="RO33" s="14"/>
      <c r="RP33" s="14"/>
      <c r="RQ33" s="14"/>
      <c r="RR33" s="14"/>
      <c r="RS33" s="14"/>
      <c r="RT33" s="14"/>
      <c r="RU33" s="14"/>
      <c r="RV33" s="14"/>
      <c r="RW33" s="14"/>
      <c r="RX33" s="14"/>
      <c r="RY33" s="14"/>
      <c r="RZ33" s="14"/>
      <c r="SA33" s="14"/>
      <c r="SB33" s="14"/>
      <c r="SC33" s="14"/>
    </row>
    <row r="34" spans="1:497" ht="27" customHeight="1" x14ac:dyDescent="0.15">
      <c r="A34" s="10">
        <v>4.2</v>
      </c>
      <c r="B34" s="11" t="s">
        <v>106</v>
      </c>
      <c r="C34" s="12"/>
      <c r="D34" s="12"/>
      <c r="E34" s="95"/>
      <c r="F34" s="93"/>
      <c r="G34" s="96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  <c r="FL34" s="14"/>
      <c r="FM34" s="14"/>
      <c r="FN34" s="14"/>
      <c r="FO34" s="14"/>
      <c r="FP34" s="14"/>
      <c r="FQ34" s="14"/>
      <c r="FR34" s="14"/>
      <c r="FS34" s="14"/>
      <c r="FT34" s="14"/>
      <c r="FU34" s="14"/>
      <c r="FV34" s="14"/>
      <c r="FW34" s="14"/>
      <c r="FX34" s="14"/>
      <c r="FY34" s="14"/>
      <c r="FZ34" s="14"/>
      <c r="GA34" s="14"/>
      <c r="GB34" s="14"/>
      <c r="GC34" s="14"/>
      <c r="GD34" s="14"/>
      <c r="GE34" s="14"/>
      <c r="GF34" s="14"/>
      <c r="GG34" s="14"/>
      <c r="GH34" s="14"/>
      <c r="GI34" s="14"/>
      <c r="GJ34" s="14"/>
      <c r="GK34" s="14"/>
      <c r="GL34" s="14"/>
      <c r="GM34" s="14"/>
      <c r="GN34" s="14"/>
      <c r="GO34" s="14"/>
      <c r="GP34" s="14"/>
      <c r="GQ34" s="14"/>
      <c r="GR34" s="14"/>
      <c r="GS34" s="14"/>
      <c r="GT34" s="14"/>
      <c r="GU34" s="14"/>
      <c r="GV34" s="14"/>
      <c r="GW34" s="14"/>
      <c r="GX34" s="14"/>
      <c r="GY34" s="14"/>
      <c r="GZ34" s="14"/>
      <c r="HA34" s="14"/>
      <c r="HB34" s="14"/>
      <c r="HC34" s="14"/>
      <c r="HD34" s="14"/>
      <c r="HE34" s="14"/>
      <c r="HF34" s="14"/>
      <c r="HG34" s="14"/>
      <c r="HH34" s="14"/>
      <c r="HI34" s="14"/>
      <c r="HJ34" s="14"/>
      <c r="HK34" s="14"/>
      <c r="HL34" s="14"/>
      <c r="HM34" s="14"/>
      <c r="HN34" s="14"/>
      <c r="HO34" s="14"/>
      <c r="HP34" s="14"/>
      <c r="HQ34" s="14"/>
      <c r="HR34" s="14"/>
      <c r="HS34" s="14"/>
      <c r="HT34" s="14"/>
      <c r="HU34" s="14"/>
      <c r="HV34" s="14"/>
      <c r="HW34" s="14"/>
      <c r="HX34" s="14"/>
      <c r="HY34" s="14"/>
      <c r="HZ34" s="14"/>
      <c r="IA34" s="14"/>
      <c r="IB34" s="14"/>
      <c r="IC34" s="14"/>
      <c r="ID34" s="14"/>
      <c r="IE34" s="14"/>
      <c r="IF34" s="14"/>
      <c r="IG34" s="14"/>
      <c r="IH34" s="14"/>
      <c r="II34" s="14"/>
      <c r="IJ34" s="14"/>
      <c r="IK34" s="14"/>
      <c r="IL34" s="14"/>
      <c r="IM34" s="14"/>
      <c r="IN34" s="14"/>
      <c r="IO34" s="14"/>
      <c r="IP34" s="14"/>
      <c r="IQ34" s="14"/>
      <c r="IR34" s="14"/>
      <c r="IS34" s="14"/>
      <c r="IT34" s="14"/>
      <c r="IU34" s="14"/>
      <c r="IV34" s="14"/>
      <c r="IW34" s="14"/>
      <c r="IX34" s="14"/>
      <c r="IY34" s="14"/>
      <c r="IZ34" s="14"/>
      <c r="JA34" s="14"/>
      <c r="JB34" s="14"/>
      <c r="JC34" s="14"/>
      <c r="JD34" s="14"/>
      <c r="JE34" s="14"/>
      <c r="JF34" s="14"/>
      <c r="JG34" s="14"/>
      <c r="JH34" s="14"/>
      <c r="JI34" s="14"/>
      <c r="JJ34" s="14"/>
      <c r="JK34" s="14"/>
      <c r="JL34" s="14"/>
      <c r="JM34" s="14"/>
      <c r="JN34" s="14"/>
      <c r="JO34" s="14"/>
      <c r="JP34" s="14"/>
      <c r="JQ34" s="14"/>
      <c r="JR34" s="14"/>
      <c r="JS34" s="14"/>
      <c r="JT34" s="14"/>
      <c r="JU34" s="14"/>
      <c r="JV34" s="14"/>
      <c r="JW34" s="14"/>
      <c r="JX34" s="14"/>
      <c r="JY34" s="14"/>
      <c r="JZ34" s="14"/>
      <c r="KA34" s="14"/>
      <c r="KB34" s="14"/>
      <c r="KC34" s="14"/>
      <c r="KD34" s="14"/>
      <c r="KE34" s="14"/>
      <c r="KF34" s="14"/>
      <c r="KG34" s="14"/>
      <c r="KH34" s="14"/>
      <c r="KI34" s="14"/>
      <c r="KJ34" s="14"/>
      <c r="KK34" s="14"/>
      <c r="KL34" s="14"/>
      <c r="KM34" s="14"/>
      <c r="KN34" s="14"/>
      <c r="KO34" s="14"/>
      <c r="KP34" s="14"/>
      <c r="KQ34" s="14"/>
      <c r="KR34" s="14"/>
      <c r="KS34" s="14"/>
      <c r="KT34" s="14"/>
      <c r="KU34" s="14"/>
      <c r="KV34" s="14"/>
      <c r="KW34" s="14"/>
      <c r="KX34" s="14"/>
      <c r="KY34" s="14"/>
      <c r="KZ34" s="14"/>
      <c r="LA34" s="14"/>
      <c r="LB34" s="14"/>
      <c r="LC34" s="14"/>
      <c r="LD34" s="14"/>
      <c r="LE34" s="14"/>
      <c r="LF34" s="14"/>
      <c r="LG34" s="14"/>
      <c r="LH34" s="14"/>
      <c r="LI34" s="14"/>
      <c r="LJ34" s="14"/>
      <c r="LK34" s="14"/>
      <c r="LL34" s="14"/>
      <c r="LM34" s="14"/>
      <c r="LN34" s="14"/>
      <c r="LO34" s="14"/>
      <c r="LP34" s="14"/>
      <c r="LQ34" s="14"/>
      <c r="LR34" s="14"/>
      <c r="LS34" s="14"/>
      <c r="LT34" s="14"/>
      <c r="LU34" s="14"/>
      <c r="LV34" s="14"/>
      <c r="LW34" s="14"/>
      <c r="LX34" s="14"/>
      <c r="LY34" s="14"/>
      <c r="LZ34" s="14"/>
      <c r="MA34" s="14"/>
      <c r="MB34" s="14"/>
      <c r="MC34" s="14"/>
      <c r="MD34" s="14"/>
      <c r="ME34" s="14"/>
      <c r="MF34" s="14"/>
      <c r="MG34" s="14"/>
      <c r="MH34" s="14"/>
      <c r="MI34" s="14"/>
      <c r="MJ34" s="14"/>
      <c r="MK34" s="14"/>
      <c r="ML34" s="14"/>
      <c r="MM34" s="14"/>
      <c r="MN34" s="14"/>
      <c r="MO34" s="14"/>
      <c r="MP34" s="14"/>
      <c r="MQ34" s="14"/>
      <c r="MR34" s="14"/>
      <c r="MS34" s="14"/>
      <c r="MT34" s="14"/>
      <c r="MU34" s="14"/>
      <c r="MV34" s="14"/>
      <c r="MW34" s="14"/>
      <c r="MX34" s="14"/>
      <c r="MY34" s="14"/>
      <c r="MZ34" s="14"/>
      <c r="NA34" s="14"/>
      <c r="NB34" s="14"/>
      <c r="NC34" s="14"/>
      <c r="ND34" s="14"/>
      <c r="NE34" s="14"/>
      <c r="NF34" s="14"/>
      <c r="NG34" s="14"/>
      <c r="NH34" s="14"/>
      <c r="NI34" s="14"/>
      <c r="NJ34" s="14"/>
      <c r="NK34" s="14"/>
      <c r="NL34" s="14"/>
      <c r="NM34" s="14"/>
      <c r="NN34" s="14"/>
      <c r="NO34" s="14"/>
      <c r="NP34" s="14"/>
      <c r="NQ34" s="14"/>
      <c r="NR34" s="14"/>
      <c r="NS34" s="14"/>
      <c r="NT34" s="14"/>
      <c r="NU34" s="14"/>
      <c r="NV34" s="14"/>
      <c r="NW34" s="14"/>
      <c r="NX34" s="14"/>
      <c r="NY34" s="14"/>
      <c r="NZ34" s="14"/>
      <c r="OA34" s="14"/>
      <c r="OB34" s="14"/>
      <c r="OC34" s="14"/>
      <c r="OD34" s="14"/>
      <c r="OE34" s="14"/>
      <c r="OF34" s="14"/>
      <c r="OG34" s="14"/>
      <c r="OH34" s="14"/>
      <c r="OI34" s="14"/>
      <c r="OJ34" s="14"/>
      <c r="OK34" s="14"/>
      <c r="OL34" s="14"/>
      <c r="OM34" s="14"/>
      <c r="ON34" s="14"/>
      <c r="OO34" s="14"/>
      <c r="OP34" s="14"/>
      <c r="OQ34" s="14"/>
      <c r="OR34" s="14"/>
      <c r="OS34" s="14"/>
      <c r="OT34" s="14"/>
      <c r="OU34" s="14"/>
      <c r="OV34" s="14"/>
      <c r="OW34" s="14"/>
      <c r="OX34" s="14"/>
      <c r="OY34" s="14"/>
      <c r="OZ34" s="14"/>
      <c r="PA34" s="14"/>
      <c r="PB34" s="14"/>
      <c r="PC34" s="14"/>
      <c r="PD34" s="14"/>
      <c r="PE34" s="14"/>
      <c r="PF34" s="14"/>
      <c r="PG34" s="14"/>
      <c r="PH34" s="14"/>
      <c r="PI34" s="14"/>
      <c r="PJ34" s="14"/>
      <c r="PK34" s="14"/>
      <c r="PL34" s="14"/>
      <c r="PM34" s="14"/>
      <c r="PN34" s="14"/>
      <c r="PO34" s="14"/>
      <c r="PP34" s="14"/>
      <c r="PQ34" s="14"/>
      <c r="PR34" s="14"/>
      <c r="PS34" s="14"/>
      <c r="PT34" s="14"/>
      <c r="PU34" s="14"/>
      <c r="PV34" s="14"/>
      <c r="PW34" s="14"/>
      <c r="PX34" s="14"/>
      <c r="PY34" s="14"/>
      <c r="PZ34" s="14"/>
      <c r="QA34" s="14"/>
      <c r="QB34" s="14"/>
      <c r="QC34" s="14"/>
      <c r="QD34" s="14"/>
      <c r="QE34" s="14"/>
      <c r="QF34" s="14"/>
      <c r="QG34" s="14"/>
      <c r="QH34" s="14"/>
      <c r="QI34" s="14"/>
      <c r="QJ34" s="14"/>
      <c r="QK34" s="14"/>
      <c r="QL34" s="14"/>
      <c r="QM34" s="14"/>
      <c r="QN34" s="14"/>
      <c r="QO34" s="14"/>
      <c r="QP34" s="14"/>
      <c r="QQ34" s="14"/>
      <c r="QR34" s="14"/>
      <c r="QS34" s="14"/>
      <c r="QT34" s="14"/>
      <c r="QU34" s="14"/>
      <c r="QV34" s="14"/>
      <c r="QW34" s="14"/>
      <c r="QX34" s="14"/>
      <c r="QY34" s="14"/>
      <c r="QZ34" s="14"/>
      <c r="RA34" s="14"/>
      <c r="RB34" s="14"/>
      <c r="RC34" s="14"/>
      <c r="RD34" s="14"/>
      <c r="RE34" s="14"/>
      <c r="RF34" s="14"/>
      <c r="RG34" s="14"/>
      <c r="RH34" s="14"/>
      <c r="RI34" s="14"/>
      <c r="RJ34" s="14"/>
      <c r="RK34" s="14"/>
      <c r="RL34" s="14"/>
      <c r="RM34" s="14"/>
      <c r="RN34" s="14"/>
      <c r="RO34" s="14"/>
      <c r="RP34" s="14"/>
      <c r="RQ34" s="14"/>
      <c r="RR34" s="14"/>
      <c r="RS34" s="14"/>
      <c r="RT34" s="14"/>
      <c r="RU34" s="14"/>
      <c r="RV34" s="14"/>
      <c r="RW34" s="14"/>
      <c r="RX34" s="14"/>
      <c r="RY34" s="14"/>
      <c r="RZ34" s="14"/>
      <c r="SA34" s="14"/>
      <c r="SB34" s="14"/>
      <c r="SC34" s="14"/>
    </row>
    <row r="35" spans="1:497" ht="27" customHeight="1" x14ac:dyDescent="0.15">
      <c r="A35" s="10">
        <v>4.3</v>
      </c>
      <c r="B35" s="11" t="s">
        <v>107</v>
      </c>
      <c r="C35" s="12"/>
      <c r="D35" s="12"/>
      <c r="E35" s="95"/>
      <c r="F35" s="93"/>
      <c r="G35" s="96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14"/>
      <c r="GT35" s="14"/>
      <c r="GU35" s="14"/>
      <c r="GV35" s="14"/>
      <c r="GW35" s="14"/>
      <c r="GX35" s="14"/>
      <c r="GY35" s="14"/>
      <c r="GZ35" s="14"/>
      <c r="HA35" s="14"/>
      <c r="HB35" s="14"/>
      <c r="HC35" s="14"/>
      <c r="HD35" s="14"/>
      <c r="HE35" s="14"/>
      <c r="HF35" s="14"/>
      <c r="HG35" s="14"/>
      <c r="HH35" s="14"/>
      <c r="HI35" s="14"/>
      <c r="HJ35" s="14"/>
      <c r="HK35" s="14"/>
      <c r="HL35" s="14"/>
      <c r="HM35" s="14"/>
      <c r="HN35" s="14"/>
      <c r="HO35" s="14"/>
      <c r="HP35" s="14"/>
      <c r="HQ35" s="14"/>
      <c r="HR35" s="14"/>
      <c r="HS35" s="14"/>
      <c r="HT35" s="14"/>
      <c r="HU35" s="14"/>
      <c r="HV35" s="14"/>
      <c r="HW35" s="14"/>
      <c r="HX35" s="14"/>
      <c r="HY35" s="14"/>
      <c r="HZ35" s="14"/>
      <c r="IA35" s="14"/>
      <c r="IB35" s="14"/>
      <c r="IC35" s="14"/>
      <c r="ID35" s="14"/>
      <c r="IE35" s="14"/>
      <c r="IF35" s="14"/>
      <c r="IG35" s="14"/>
      <c r="IH35" s="14"/>
      <c r="II35" s="14"/>
      <c r="IJ35" s="14"/>
      <c r="IK35" s="14"/>
      <c r="IL35" s="14"/>
      <c r="IM35" s="14"/>
      <c r="IN35" s="14"/>
      <c r="IO35" s="14"/>
      <c r="IP35" s="14"/>
      <c r="IQ35" s="14"/>
      <c r="IR35" s="14"/>
      <c r="IS35" s="14"/>
      <c r="IT35" s="14"/>
      <c r="IU35" s="14"/>
      <c r="IV35" s="14"/>
      <c r="IW35" s="14"/>
      <c r="IX35" s="14"/>
      <c r="IY35" s="14"/>
      <c r="IZ35" s="14"/>
      <c r="JA35" s="14"/>
      <c r="JB35" s="14"/>
      <c r="JC35" s="14"/>
      <c r="JD35" s="14"/>
      <c r="JE35" s="14"/>
      <c r="JF35" s="14"/>
      <c r="JG35" s="14"/>
      <c r="JH35" s="14"/>
      <c r="JI35" s="14"/>
      <c r="JJ35" s="14"/>
      <c r="JK35" s="14"/>
      <c r="JL35" s="14"/>
      <c r="JM35" s="14"/>
      <c r="JN35" s="14"/>
      <c r="JO35" s="14"/>
      <c r="JP35" s="14"/>
      <c r="JQ35" s="14"/>
      <c r="JR35" s="14"/>
      <c r="JS35" s="14"/>
      <c r="JT35" s="14"/>
      <c r="JU35" s="14"/>
      <c r="JV35" s="14"/>
      <c r="JW35" s="14"/>
      <c r="JX35" s="14"/>
      <c r="JY35" s="14"/>
      <c r="JZ35" s="14"/>
      <c r="KA35" s="14"/>
      <c r="KB35" s="14"/>
      <c r="KC35" s="14"/>
      <c r="KD35" s="14"/>
      <c r="KE35" s="14"/>
      <c r="KF35" s="14"/>
      <c r="KG35" s="14"/>
      <c r="KH35" s="14"/>
      <c r="KI35" s="14"/>
      <c r="KJ35" s="14"/>
      <c r="KK35" s="14"/>
      <c r="KL35" s="14"/>
      <c r="KM35" s="14"/>
      <c r="KN35" s="14"/>
      <c r="KO35" s="14"/>
      <c r="KP35" s="14"/>
      <c r="KQ35" s="14"/>
      <c r="KR35" s="14"/>
      <c r="KS35" s="14"/>
      <c r="KT35" s="14"/>
      <c r="KU35" s="14"/>
      <c r="KV35" s="14"/>
      <c r="KW35" s="14"/>
      <c r="KX35" s="14"/>
      <c r="KY35" s="14"/>
      <c r="KZ35" s="14"/>
      <c r="LA35" s="14"/>
      <c r="LB35" s="14"/>
      <c r="LC35" s="14"/>
      <c r="LD35" s="14"/>
      <c r="LE35" s="14"/>
      <c r="LF35" s="14"/>
      <c r="LG35" s="14"/>
      <c r="LH35" s="14"/>
      <c r="LI35" s="14"/>
      <c r="LJ35" s="14"/>
      <c r="LK35" s="14"/>
      <c r="LL35" s="14"/>
      <c r="LM35" s="14"/>
      <c r="LN35" s="14"/>
      <c r="LO35" s="14"/>
      <c r="LP35" s="14"/>
      <c r="LQ35" s="14"/>
      <c r="LR35" s="14"/>
      <c r="LS35" s="14"/>
      <c r="LT35" s="14"/>
      <c r="LU35" s="14"/>
      <c r="LV35" s="14"/>
      <c r="LW35" s="14"/>
      <c r="LX35" s="14"/>
      <c r="LY35" s="14"/>
      <c r="LZ35" s="14"/>
      <c r="MA35" s="14"/>
      <c r="MB35" s="14"/>
      <c r="MC35" s="14"/>
      <c r="MD35" s="14"/>
      <c r="ME35" s="14"/>
      <c r="MF35" s="14"/>
      <c r="MG35" s="14"/>
      <c r="MH35" s="14"/>
      <c r="MI35" s="14"/>
      <c r="MJ35" s="14"/>
      <c r="MK35" s="14"/>
      <c r="ML35" s="14"/>
      <c r="MM35" s="14"/>
      <c r="MN35" s="14"/>
      <c r="MO35" s="14"/>
      <c r="MP35" s="14"/>
      <c r="MQ35" s="14"/>
      <c r="MR35" s="14"/>
      <c r="MS35" s="14"/>
      <c r="MT35" s="14"/>
      <c r="MU35" s="14"/>
      <c r="MV35" s="14"/>
      <c r="MW35" s="14"/>
      <c r="MX35" s="14"/>
      <c r="MY35" s="14"/>
      <c r="MZ35" s="14"/>
      <c r="NA35" s="14"/>
      <c r="NB35" s="14"/>
      <c r="NC35" s="14"/>
      <c r="ND35" s="14"/>
      <c r="NE35" s="14"/>
      <c r="NF35" s="14"/>
      <c r="NG35" s="14"/>
      <c r="NH35" s="14"/>
      <c r="NI35" s="14"/>
      <c r="NJ35" s="14"/>
      <c r="NK35" s="14"/>
      <c r="NL35" s="14"/>
      <c r="NM35" s="14"/>
      <c r="NN35" s="14"/>
      <c r="NO35" s="14"/>
      <c r="NP35" s="14"/>
      <c r="NQ35" s="14"/>
      <c r="NR35" s="14"/>
      <c r="NS35" s="14"/>
      <c r="NT35" s="14"/>
      <c r="NU35" s="14"/>
      <c r="NV35" s="14"/>
      <c r="NW35" s="14"/>
      <c r="NX35" s="14"/>
      <c r="NY35" s="14"/>
      <c r="NZ35" s="14"/>
      <c r="OA35" s="14"/>
      <c r="OB35" s="14"/>
      <c r="OC35" s="14"/>
      <c r="OD35" s="14"/>
      <c r="OE35" s="14"/>
      <c r="OF35" s="14"/>
      <c r="OG35" s="14"/>
      <c r="OH35" s="14"/>
      <c r="OI35" s="14"/>
      <c r="OJ35" s="14"/>
      <c r="OK35" s="14"/>
      <c r="OL35" s="14"/>
      <c r="OM35" s="14"/>
      <c r="ON35" s="14"/>
      <c r="OO35" s="14"/>
      <c r="OP35" s="14"/>
      <c r="OQ35" s="14"/>
      <c r="OR35" s="14"/>
      <c r="OS35" s="14"/>
      <c r="OT35" s="14"/>
      <c r="OU35" s="14"/>
      <c r="OV35" s="14"/>
      <c r="OW35" s="14"/>
      <c r="OX35" s="14"/>
      <c r="OY35" s="14"/>
      <c r="OZ35" s="14"/>
      <c r="PA35" s="14"/>
      <c r="PB35" s="14"/>
      <c r="PC35" s="14"/>
      <c r="PD35" s="14"/>
      <c r="PE35" s="14"/>
      <c r="PF35" s="14"/>
      <c r="PG35" s="14"/>
      <c r="PH35" s="14"/>
      <c r="PI35" s="14"/>
      <c r="PJ35" s="14"/>
      <c r="PK35" s="14"/>
      <c r="PL35" s="14"/>
      <c r="PM35" s="14"/>
      <c r="PN35" s="14"/>
      <c r="PO35" s="14"/>
      <c r="PP35" s="14"/>
      <c r="PQ35" s="14"/>
      <c r="PR35" s="14"/>
      <c r="PS35" s="14"/>
      <c r="PT35" s="14"/>
      <c r="PU35" s="14"/>
      <c r="PV35" s="14"/>
      <c r="PW35" s="14"/>
      <c r="PX35" s="14"/>
      <c r="PY35" s="14"/>
      <c r="PZ35" s="14"/>
      <c r="QA35" s="14"/>
      <c r="QB35" s="14"/>
      <c r="QC35" s="14"/>
      <c r="QD35" s="14"/>
      <c r="QE35" s="14"/>
      <c r="QF35" s="14"/>
      <c r="QG35" s="14"/>
      <c r="QH35" s="14"/>
      <c r="QI35" s="14"/>
      <c r="QJ35" s="14"/>
      <c r="QK35" s="14"/>
      <c r="QL35" s="14"/>
      <c r="QM35" s="14"/>
      <c r="QN35" s="14"/>
      <c r="QO35" s="14"/>
      <c r="QP35" s="14"/>
      <c r="QQ35" s="14"/>
      <c r="QR35" s="14"/>
      <c r="QS35" s="14"/>
      <c r="QT35" s="14"/>
      <c r="QU35" s="14"/>
      <c r="QV35" s="14"/>
      <c r="QW35" s="14"/>
      <c r="QX35" s="14"/>
      <c r="QY35" s="14"/>
      <c r="QZ35" s="14"/>
      <c r="RA35" s="14"/>
      <c r="RB35" s="14"/>
      <c r="RC35" s="14"/>
      <c r="RD35" s="14"/>
      <c r="RE35" s="14"/>
      <c r="RF35" s="14"/>
      <c r="RG35" s="14"/>
      <c r="RH35" s="14"/>
      <c r="RI35" s="14"/>
      <c r="RJ35" s="14"/>
      <c r="RK35" s="14"/>
      <c r="RL35" s="14"/>
      <c r="RM35" s="14"/>
      <c r="RN35" s="14"/>
      <c r="RO35" s="14"/>
      <c r="RP35" s="14"/>
      <c r="RQ35" s="14"/>
      <c r="RR35" s="14"/>
      <c r="RS35" s="14"/>
      <c r="RT35" s="14"/>
      <c r="RU35" s="14"/>
      <c r="RV35" s="14"/>
      <c r="RW35" s="14"/>
      <c r="RX35" s="14"/>
      <c r="RY35" s="14"/>
      <c r="RZ35" s="14"/>
      <c r="SA35" s="14"/>
      <c r="SB35" s="14"/>
      <c r="SC35" s="14"/>
    </row>
    <row r="36" spans="1:497" ht="27" customHeight="1" thickTop="1" thickBot="1" x14ac:dyDescent="0.2">
      <c r="A36" s="10">
        <v>4.4000000000000004</v>
      </c>
      <c r="B36" s="11" t="s">
        <v>108</v>
      </c>
      <c r="C36" s="12"/>
      <c r="D36" s="12"/>
      <c r="E36" s="95"/>
      <c r="F36" s="93"/>
      <c r="G36" s="96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  <c r="GB36" s="14"/>
      <c r="GC36" s="14"/>
      <c r="GD36" s="14"/>
      <c r="GE36" s="14"/>
      <c r="GF36" s="14"/>
      <c r="GG36" s="1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  <c r="GS36" s="14"/>
      <c r="GT36" s="14"/>
      <c r="GU36" s="14"/>
      <c r="GV36" s="14"/>
      <c r="GW36" s="14"/>
      <c r="GX36" s="14"/>
      <c r="GY36" s="14"/>
      <c r="GZ36" s="14"/>
      <c r="HA36" s="14"/>
      <c r="HB36" s="14"/>
      <c r="HC36" s="14"/>
      <c r="HD36" s="14"/>
      <c r="HE36" s="14"/>
      <c r="HF36" s="14"/>
      <c r="HG36" s="14"/>
      <c r="HH36" s="14"/>
      <c r="HI36" s="14"/>
      <c r="HJ36" s="14"/>
      <c r="HK36" s="14"/>
      <c r="HL36" s="14"/>
      <c r="HM36" s="14"/>
      <c r="HN36" s="14"/>
      <c r="HO36" s="14"/>
      <c r="HP36" s="14"/>
      <c r="HQ36" s="14"/>
      <c r="HR36" s="14"/>
      <c r="HS36" s="14"/>
      <c r="HT36" s="14"/>
      <c r="HU36" s="14"/>
      <c r="HV36" s="14"/>
      <c r="HW36" s="14"/>
      <c r="HX36" s="14"/>
      <c r="HY36" s="14"/>
      <c r="HZ36" s="14"/>
      <c r="IA36" s="14"/>
      <c r="IB36" s="14"/>
      <c r="IC36" s="14"/>
      <c r="ID36" s="14"/>
      <c r="IE36" s="14"/>
      <c r="IF36" s="14"/>
      <c r="IG36" s="14"/>
      <c r="IH36" s="14"/>
      <c r="II36" s="14"/>
      <c r="IJ36" s="14"/>
      <c r="IK36" s="14"/>
      <c r="IL36" s="14"/>
      <c r="IM36" s="14"/>
      <c r="IN36" s="14"/>
      <c r="IO36" s="14"/>
      <c r="IP36" s="14"/>
      <c r="IQ36" s="14"/>
      <c r="IR36" s="14"/>
      <c r="IS36" s="14"/>
      <c r="IT36" s="14"/>
      <c r="IU36" s="14"/>
      <c r="IV36" s="14"/>
      <c r="IW36" s="14"/>
      <c r="IX36" s="14"/>
      <c r="IY36" s="14"/>
      <c r="IZ36" s="14"/>
      <c r="JA36" s="14"/>
      <c r="JB36" s="14"/>
      <c r="JC36" s="14"/>
      <c r="JD36" s="14"/>
      <c r="JE36" s="14"/>
      <c r="JF36" s="14"/>
      <c r="JG36" s="14"/>
      <c r="JH36" s="14"/>
      <c r="JI36" s="14"/>
      <c r="JJ36" s="14"/>
      <c r="JK36" s="14"/>
      <c r="JL36" s="14"/>
      <c r="JM36" s="14"/>
      <c r="JN36" s="14"/>
      <c r="JO36" s="14"/>
      <c r="JP36" s="14"/>
      <c r="JQ36" s="14"/>
      <c r="JR36" s="14"/>
      <c r="JS36" s="14"/>
      <c r="JT36" s="14"/>
      <c r="JU36" s="14"/>
      <c r="JV36" s="14"/>
      <c r="JW36" s="14"/>
      <c r="JX36" s="14"/>
      <c r="JY36" s="14"/>
      <c r="JZ36" s="14"/>
      <c r="KA36" s="14"/>
      <c r="KB36" s="14"/>
      <c r="KC36" s="14"/>
      <c r="KD36" s="14"/>
      <c r="KE36" s="14"/>
      <c r="KF36" s="14"/>
      <c r="KG36" s="14"/>
      <c r="KH36" s="14"/>
      <c r="KI36" s="14"/>
      <c r="KJ36" s="14"/>
      <c r="KK36" s="14"/>
      <c r="KL36" s="14"/>
      <c r="KM36" s="14"/>
      <c r="KN36" s="14"/>
      <c r="KO36" s="14"/>
      <c r="KP36" s="14"/>
      <c r="KQ36" s="14"/>
      <c r="KR36" s="14"/>
      <c r="KS36" s="14"/>
      <c r="KT36" s="14"/>
      <c r="KU36" s="14"/>
      <c r="KV36" s="14"/>
      <c r="KW36" s="14"/>
      <c r="KX36" s="14"/>
      <c r="KY36" s="14"/>
      <c r="KZ36" s="14"/>
      <c r="LA36" s="14"/>
      <c r="LB36" s="14"/>
      <c r="LC36" s="14"/>
      <c r="LD36" s="14"/>
      <c r="LE36" s="14"/>
      <c r="LF36" s="14"/>
      <c r="LG36" s="14"/>
      <c r="LH36" s="14"/>
      <c r="LI36" s="14"/>
      <c r="LJ36" s="14"/>
      <c r="LK36" s="14"/>
      <c r="LL36" s="14"/>
      <c r="LM36" s="14"/>
      <c r="LN36" s="14"/>
      <c r="LO36" s="14"/>
      <c r="LP36" s="14"/>
      <c r="LQ36" s="14"/>
      <c r="LR36" s="14"/>
      <c r="LS36" s="14"/>
      <c r="LT36" s="14"/>
      <c r="LU36" s="14"/>
      <c r="LV36" s="14"/>
      <c r="LW36" s="14"/>
      <c r="LX36" s="14"/>
      <c r="LY36" s="14"/>
      <c r="LZ36" s="14"/>
      <c r="MA36" s="14"/>
      <c r="MB36" s="14"/>
      <c r="MC36" s="14"/>
      <c r="MD36" s="14"/>
      <c r="ME36" s="14"/>
      <c r="MF36" s="14"/>
      <c r="MG36" s="14"/>
      <c r="MH36" s="14"/>
      <c r="MI36" s="14"/>
      <c r="MJ36" s="14"/>
      <c r="MK36" s="14"/>
      <c r="ML36" s="14"/>
      <c r="MM36" s="14"/>
      <c r="MN36" s="14"/>
      <c r="MO36" s="14"/>
      <c r="MP36" s="14"/>
      <c r="MQ36" s="14"/>
      <c r="MR36" s="14"/>
      <c r="MS36" s="14"/>
      <c r="MT36" s="14"/>
      <c r="MU36" s="14"/>
      <c r="MV36" s="14"/>
      <c r="MW36" s="14"/>
      <c r="MX36" s="14"/>
      <c r="MY36" s="14"/>
      <c r="MZ36" s="14"/>
      <c r="NA36" s="14"/>
      <c r="NB36" s="14"/>
      <c r="NC36" s="14"/>
      <c r="ND36" s="14"/>
      <c r="NE36" s="14"/>
      <c r="NF36" s="14"/>
      <c r="NG36" s="14"/>
      <c r="NH36" s="14"/>
      <c r="NI36" s="14"/>
      <c r="NJ36" s="14"/>
      <c r="NK36" s="14"/>
      <c r="NL36" s="14"/>
      <c r="NM36" s="14"/>
      <c r="NN36" s="14"/>
      <c r="NO36" s="14"/>
      <c r="NP36" s="14"/>
      <c r="NQ36" s="14"/>
      <c r="NR36" s="14"/>
      <c r="NS36" s="14"/>
      <c r="NT36" s="14"/>
      <c r="NU36" s="14"/>
      <c r="NV36" s="14"/>
      <c r="NW36" s="14"/>
      <c r="NX36" s="14"/>
      <c r="NY36" s="14"/>
      <c r="NZ36" s="14"/>
      <c r="OA36" s="14"/>
      <c r="OB36" s="14"/>
      <c r="OC36" s="14"/>
      <c r="OD36" s="14"/>
      <c r="OE36" s="14"/>
      <c r="OF36" s="14"/>
      <c r="OG36" s="14"/>
      <c r="OH36" s="14"/>
      <c r="OI36" s="14"/>
      <c r="OJ36" s="14"/>
      <c r="OK36" s="14"/>
      <c r="OL36" s="14"/>
      <c r="OM36" s="14"/>
      <c r="ON36" s="14"/>
      <c r="OO36" s="14"/>
      <c r="OP36" s="14"/>
      <c r="OQ36" s="14"/>
      <c r="OR36" s="14"/>
      <c r="OS36" s="14"/>
      <c r="OT36" s="14"/>
      <c r="OU36" s="14"/>
      <c r="OV36" s="14"/>
      <c r="OW36" s="14"/>
      <c r="OX36" s="14"/>
      <c r="OY36" s="14"/>
      <c r="OZ36" s="14"/>
      <c r="PA36" s="14"/>
      <c r="PB36" s="14"/>
      <c r="PC36" s="14"/>
      <c r="PD36" s="14"/>
      <c r="PE36" s="14"/>
      <c r="PF36" s="14"/>
      <c r="PG36" s="14"/>
      <c r="PH36" s="14"/>
      <c r="PI36" s="14"/>
      <c r="PJ36" s="14"/>
      <c r="PK36" s="14"/>
      <c r="PL36" s="14"/>
      <c r="PM36" s="14"/>
      <c r="PN36" s="14"/>
      <c r="PO36" s="14"/>
      <c r="PP36" s="14"/>
      <c r="PQ36" s="14"/>
      <c r="PR36" s="14"/>
      <c r="PS36" s="14"/>
      <c r="PT36" s="14"/>
      <c r="PU36" s="14"/>
      <c r="PV36" s="14"/>
      <c r="PW36" s="14"/>
      <c r="PX36" s="14"/>
      <c r="PY36" s="14"/>
      <c r="PZ36" s="14"/>
      <c r="QA36" s="14"/>
      <c r="QB36" s="14"/>
      <c r="QC36" s="14"/>
      <c r="QD36" s="14"/>
      <c r="QE36" s="14"/>
      <c r="QF36" s="14"/>
      <c r="QG36" s="14"/>
      <c r="QH36" s="14"/>
      <c r="QI36" s="14"/>
      <c r="QJ36" s="14"/>
      <c r="QK36" s="14"/>
      <c r="QL36" s="14"/>
      <c r="QM36" s="14"/>
      <c r="QN36" s="14"/>
      <c r="QO36" s="14"/>
      <c r="QP36" s="14"/>
      <c r="QQ36" s="14"/>
      <c r="QR36" s="14"/>
      <c r="QS36" s="14"/>
      <c r="QT36" s="14"/>
      <c r="QU36" s="14"/>
      <c r="QV36" s="14"/>
      <c r="QW36" s="14"/>
      <c r="QX36" s="14"/>
      <c r="QY36" s="14"/>
      <c r="QZ36" s="14"/>
      <c r="RA36" s="14"/>
      <c r="RB36" s="14"/>
      <c r="RC36" s="14"/>
      <c r="RD36" s="14"/>
      <c r="RE36" s="14"/>
      <c r="RF36" s="14"/>
      <c r="RG36" s="14"/>
      <c r="RH36" s="14"/>
      <c r="RI36" s="14"/>
      <c r="RJ36" s="14"/>
      <c r="RK36" s="14"/>
      <c r="RL36" s="14"/>
      <c r="RM36" s="14"/>
      <c r="RN36" s="14"/>
      <c r="RO36" s="14"/>
      <c r="RP36" s="14"/>
      <c r="RQ36" s="14"/>
      <c r="RR36" s="14"/>
      <c r="RS36" s="14"/>
      <c r="RT36" s="14"/>
      <c r="RU36" s="14"/>
      <c r="RV36" s="14"/>
      <c r="RW36" s="14"/>
      <c r="RX36" s="14"/>
      <c r="RY36" s="14"/>
      <c r="RZ36" s="14"/>
      <c r="SA36" s="14"/>
      <c r="SB36" s="14"/>
      <c r="SC36" s="14"/>
    </row>
    <row r="37" spans="1:497" ht="27" customHeight="1" thickTop="1" thickBot="1" x14ac:dyDescent="0.2">
      <c r="A37" s="129" t="s">
        <v>115</v>
      </c>
      <c r="B37" s="130"/>
      <c r="C37" s="15"/>
      <c r="D37" s="15"/>
      <c r="E37" s="16"/>
      <c r="F37" s="98"/>
      <c r="G37" s="91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14"/>
      <c r="GP37" s="14"/>
      <c r="GQ37" s="14"/>
      <c r="GR37" s="14"/>
      <c r="GS37" s="14"/>
      <c r="GT37" s="14"/>
      <c r="GU37" s="14"/>
      <c r="GV37" s="14"/>
      <c r="GW37" s="14"/>
      <c r="GX37" s="14"/>
      <c r="GY37" s="14"/>
      <c r="GZ37" s="14"/>
      <c r="HA37" s="14"/>
      <c r="HB37" s="14"/>
      <c r="HC37" s="14"/>
      <c r="HD37" s="14"/>
      <c r="HE37" s="14"/>
      <c r="HF37" s="14"/>
      <c r="HG37" s="14"/>
      <c r="HH37" s="14"/>
      <c r="HI37" s="14"/>
      <c r="HJ37" s="14"/>
      <c r="HK37" s="14"/>
      <c r="HL37" s="14"/>
      <c r="HM37" s="14"/>
      <c r="HN37" s="14"/>
      <c r="HO37" s="14"/>
      <c r="HP37" s="14"/>
      <c r="HQ37" s="14"/>
      <c r="HR37" s="14"/>
      <c r="HS37" s="14"/>
      <c r="HT37" s="14"/>
      <c r="HU37" s="14"/>
      <c r="HV37" s="14"/>
      <c r="HW37" s="14"/>
      <c r="HX37" s="14"/>
      <c r="HY37" s="14"/>
      <c r="HZ37" s="14"/>
      <c r="IA37" s="14"/>
      <c r="IB37" s="14"/>
      <c r="IC37" s="14"/>
      <c r="ID37" s="14"/>
      <c r="IE37" s="14"/>
      <c r="IF37" s="14"/>
      <c r="IG37" s="14"/>
      <c r="IH37" s="14"/>
      <c r="II37" s="14"/>
      <c r="IJ37" s="14"/>
      <c r="IK37" s="14"/>
      <c r="IL37" s="14"/>
      <c r="IM37" s="14"/>
      <c r="IN37" s="14"/>
      <c r="IO37" s="14"/>
      <c r="IP37" s="14"/>
      <c r="IQ37" s="14"/>
      <c r="IR37" s="14"/>
      <c r="IS37" s="14"/>
      <c r="IT37" s="14"/>
      <c r="IU37" s="14"/>
      <c r="IV37" s="14"/>
      <c r="IW37" s="14"/>
      <c r="IX37" s="14"/>
      <c r="IY37" s="14"/>
      <c r="IZ37" s="14"/>
      <c r="JA37" s="14"/>
      <c r="JB37" s="14"/>
      <c r="JC37" s="14"/>
      <c r="JD37" s="14"/>
      <c r="JE37" s="14"/>
      <c r="JF37" s="14"/>
      <c r="JG37" s="14"/>
      <c r="JH37" s="14"/>
      <c r="JI37" s="14"/>
      <c r="JJ37" s="14"/>
      <c r="JK37" s="14"/>
      <c r="JL37" s="14"/>
      <c r="JM37" s="14"/>
      <c r="JN37" s="14"/>
      <c r="JO37" s="14"/>
      <c r="JP37" s="14"/>
      <c r="JQ37" s="14"/>
      <c r="JR37" s="14"/>
      <c r="JS37" s="14"/>
      <c r="JT37" s="14"/>
      <c r="JU37" s="14"/>
      <c r="JV37" s="14"/>
      <c r="JW37" s="14"/>
      <c r="JX37" s="14"/>
      <c r="JY37" s="14"/>
      <c r="JZ37" s="14"/>
      <c r="KA37" s="14"/>
      <c r="KB37" s="14"/>
      <c r="KC37" s="14"/>
      <c r="KD37" s="14"/>
      <c r="KE37" s="14"/>
      <c r="KF37" s="14"/>
      <c r="KG37" s="14"/>
      <c r="KH37" s="14"/>
      <c r="KI37" s="14"/>
      <c r="KJ37" s="14"/>
      <c r="KK37" s="14"/>
      <c r="KL37" s="14"/>
      <c r="KM37" s="14"/>
      <c r="KN37" s="14"/>
      <c r="KO37" s="14"/>
      <c r="KP37" s="14"/>
      <c r="KQ37" s="14"/>
      <c r="KR37" s="14"/>
      <c r="KS37" s="14"/>
      <c r="KT37" s="14"/>
      <c r="KU37" s="14"/>
      <c r="KV37" s="14"/>
      <c r="KW37" s="14"/>
      <c r="KX37" s="14"/>
      <c r="KY37" s="14"/>
      <c r="KZ37" s="14"/>
      <c r="LA37" s="14"/>
      <c r="LB37" s="14"/>
      <c r="LC37" s="14"/>
      <c r="LD37" s="14"/>
      <c r="LE37" s="14"/>
      <c r="LF37" s="14"/>
      <c r="LG37" s="14"/>
      <c r="LH37" s="14"/>
      <c r="LI37" s="14"/>
      <c r="LJ37" s="14"/>
      <c r="LK37" s="14"/>
      <c r="LL37" s="14"/>
      <c r="LM37" s="14"/>
      <c r="LN37" s="14"/>
      <c r="LO37" s="14"/>
      <c r="LP37" s="14"/>
      <c r="LQ37" s="14"/>
      <c r="LR37" s="14"/>
      <c r="LS37" s="14"/>
      <c r="LT37" s="14"/>
      <c r="LU37" s="14"/>
      <c r="LV37" s="14"/>
      <c r="LW37" s="14"/>
      <c r="LX37" s="14"/>
      <c r="LY37" s="14"/>
      <c r="LZ37" s="14"/>
      <c r="MA37" s="14"/>
      <c r="MB37" s="14"/>
      <c r="MC37" s="14"/>
      <c r="MD37" s="14"/>
      <c r="ME37" s="14"/>
      <c r="MF37" s="14"/>
      <c r="MG37" s="14"/>
      <c r="MH37" s="14"/>
      <c r="MI37" s="14"/>
      <c r="MJ37" s="14"/>
      <c r="MK37" s="14"/>
      <c r="ML37" s="14"/>
      <c r="MM37" s="14"/>
      <c r="MN37" s="14"/>
      <c r="MO37" s="14"/>
      <c r="MP37" s="14"/>
      <c r="MQ37" s="14"/>
      <c r="MR37" s="14"/>
      <c r="MS37" s="14"/>
      <c r="MT37" s="14"/>
      <c r="MU37" s="14"/>
      <c r="MV37" s="14"/>
      <c r="MW37" s="14"/>
      <c r="MX37" s="14"/>
      <c r="MY37" s="14"/>
      <c r="MZ37" s="14"/>
      <c r="NA37" s="14"/>
      <c r="NB37" s="14"/>
      <c r="NC37" s="14"/>
      <c r="ND37" s="14"/>
      <c r="NE37" s="14"/>
      <c r="NF37" s="14"/>
      <c r="NG37" s="14"/>
      <c r="NH37" s="14"/>
      <c r="NI37" s="14"/>
      <c r="NJ37" s="14"/>
      <c r="NK37" s="14"/>
      <c r="NL37" s="14"/>
      <c r="NM37" s="14"/>
      <c r="NN37" s="14"/>
      <c r="NO37" s="14"/>
      <c r="NP37" s="14"/>
      <c r="NQ37" s="14"/>
      <c r="NR37" s="14"/>
      <c r="NS37" s="14"/>
      <c r="NT37" s="14"/>
      <c r="NU37" s="14"/>
      <c r="NV37" s="14"/>
      <c r="NW37" s="14"/>
      <c r="NX37" s="14"/>
      <c r="NY37" s="14"/>
      <c r="NZ37" s="14"/>
      <c r="OA37" s="14"/>
      <c r="OB37" s="14"/>
      <c r="OC37" s="14"/>
      <c r="OD37" s="14"/>
      <c r="OE37" s="14"/>
      <c r="OF37" s="14"/>
      <c r="OG37" s="14"/>
      <c r="OH37" s="14"/>
      <c r="OI37" s="14"/>
      <c r="OJ37" s="14"/>
      <c r="OK37" s="14"/>
      <c r="OL37" s="14"/>
      <c r="OM37" s="14"/>
      <c r="ON37" s="14"/>
      <c r="OO37" s="14"/>
      <c r="OP37" s="14"/>
      <c r="OQ37" s="14"/>
      <c r="OR37" s="14"/>
      <c r="OS37" s="14"/>
      <c r="OT37" s="14"/>
      <c r="OU37" s="14"/>
      <c r="OV37" s="14"/>
      <c r="OW37" s="14"/>
      <c r="OX37" s="14"/>
      <c r="OY37" s="14"/>
      <c r="OZ37" s="14"/>
      <c r="PA37" s="14"/>
      <c r="PB37" s="14"/>
      <c r="PC37" s="14"/>
      <c r="PD37" s="14"/>
      <c r="PE37" s="14"/>
      <c r="PF37" s="14"/>
      <c r="PG37" s="14"/>
      <c r="PH37" s="14"/>
      <c r="PI37" s="14"/>
      <c r="PJ37" s="14"/>
      <c r="PK37" s="14"/>
      <c r="PL37" s="14"/>
      <c r="PM37" s="14"/>
      <c r="PN37" s="14"/>
      <c r="PO37" s="14"/>
      <c r="PP37" s="14"/>
      <c r="PQ37" s="14"/>
      <c r="PR37" s="14"/>
      <c r="PS37" s="14"/>
      <c r="PT37" s="14"/>
      <c r="PU37" s="14"/>
      <c r="PV37" s="14"/>
      <c r="PW37" s="14"/>
      <c r="PX37" s="14"/>
      <c r="PY37" s="14"/>
      <c r="PZ37" s="14"/>
      <c r="QA37" s="14"/>
      <c r="QB37" s="14"/>
      <c r="QC37" s="14"/>
      <c r="QD37" s="14"/>
      <c r="QE37" s="14"/>
      <c r="QF37" s="14"/>
      <c r="QG37" s="14"/>
      <c r="QH37" s="14"/>
      <c r="QI37" s="14"/>
      <c r="QJ37" s="14"/>
      <c r="QK37" s="14"/>
      <c r="QL37" s="14"/>
      <c r="QM37" s="14"/>
      <c r="QN37" s="14"/>
      <c r="QO37" s="14"/>
      <c r="QP37" s="14"/>
      <c r="QQ37" s="14"/>
      <c r="QR37" s="14"/>
      <c r="QS37" s="14"/>
      <c r="QT37" s="14"/>
      <c r="QU37" s="14"/>
      <c r="QV37" s="14"/>
      <c r="QW37" s="14"/>
      <c r="QX37" s="14"/>
      <c r="QY37" s="14"/>
      <c r="QZ37" s="14"/>
      <c r="RA37" s="14"/>
      <c r="RB37" s="14"/>
      <c r="RC37" s="14"/>
      <c r="RD37" s="14"/>
      <c r="RE37" s="14"/>
      <c r="RF37" s="14"/>
      <c r="RG37" s="14"/>
      <c r="RH37" s="14"/>
      <c r="RI37" s="14"/>
      <c r="RJ37" s="14"/>
      <c r="RK37" s="14"/>
      <c r="RL37" s="14"/>
      <c r="RM37" s="14"/>
      <c r="RN37" s="14"/>
      <c r="RO37" s="14"/>
      <c r="RP37" s="14"/>
      <c r="RQ37" s="14"/>
      <c r="RR37" s="14"/>
      <c r="RS37" s="14"/>
      <c r="RT37" s="14"/>
      <c r="RU37" s="14"/>
      <c r="RV37" s="14"/>
      <c r="RW37" s="14"/>
      <c r="RX37" s="14"/>
      <c r="RY37" s="14"/>
      <c r="RZ37" s="14"/>
      <c r="SA37" s="14"/>
      <c r="SB37" s="14"/>
      <c r="SC37" s="14"/>
    </row>
    <row r="38" spans="1:497" ht="27" customHeight="1" x14ac:dyDescent="0.15">
      <c r="A38" s="10">
        <v>5.0999999999999996</v>
      </c>
      <c r="B38" s="11" t="s">
        <v>110</v>
      </c>
      <c r="C38" s="12"/>
      <c r="D38" s="12"/>
      <c r="E38" s="95"/>
      <c r="F38" s="93"/>
      <c r="G38" s="96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  <c r="FW38" s="14"/>
      <c r="FX38" s="14"/>
      <c r="FY38" s="14"/>
      <c r="FZ38" s="14"/>
      <c r="GA38" s="14"/>
      <c r="GB38" s="14"/>
      <c r="GC38" s="14"/>
      <c r="GD38" s="14"/>
      <c r="GE38" s="14"/>
      <c r="GF38" s="14"/>
      <c r="GG38" s="14"/>
      <c r="GH38" s="14"/>
      <c r="GI38" s="14"/>
      <c r="GJ38" s="14"/>
      <c r="GK38" s="14"/>
      <c r="GL38" s="14"/>
      <c r="GM38" s="14"/>
      <c r="GN38" s="14"/>
      <c r="GO38" s="14"/>
      <c r="GP38" s="14"/>
      <c r="GQ38" s="14"/>
      <c r="GR38" s="14"/>
      <c r="GS38" s="14"/>
      <c r="GT38" s="14"/>
      <c r="GU38" s="14"/>
      <c r="GV38" s="14"/>
      <c r="GW38" s="14"/>
      <c r="GX38" s="14"/>
      <c r="GY38" s="14"/>
      <c r="GZ38" s="14"/>
      <c r="HA38" s="14"/>
      <c r="HB38" s="14"/>
      <c r="HC38" s="14"/>
      <c r="HD38" s="14"/>
      <c r="HE38" s="14"/>
      <c r="HF38" s="14"/>
      <c r="HG38" s="14"/>
      <c r="HH38" s="14"/>
      <c r="HI38" s="14"/>
      <c r="HJ38" s="14"/>
      <c r="HK38" s="14"/>
      <c r="HL38" s="14"/>
      <c r="HM38" s="14"/>
      <c r="HN38" s="14"/>
      <c r="HO38" s="14"/>
      <c r="HP38" s="14"/>
      <c r="HQ38" s="14"/>
      <c r="HR38" s="14"/>
      <c r="HS38" s="14"/>
      <c r="HT38" s="14"/>
      <c r="HU38" s="14"/>
      <c r="HV38" s="14"/>
      <c r="HW38" s="14"/>
      <c r="HX38" s="14"/>
      <c r="HY38" s="14"/>
      <c r="HZ38" s="14"/>
      <c r="IA38" s="14"/>
      <c r="IB38" s="14"/>
      <c r="IC38" s="14"/>
      <c r="ID38" s="14"/>
      <c r="IE38" s="14"/>
      <c r="IF38" s="14"/>
      <c r="IG38" s="14"/>
      <c r="IH38" s="14"/>
      <c r="II38" s="14"/>
      <c r="IJ38" s="14"/>
      <c r="IK38" s="14"/>
      <c r="IL38" s="14"/>
      <c r="IM38" s="14"/>
      <c r="IN38" s="14"/>
      <c r="IO38" s="14"/>
      <c r="IP38" s="14"/>
      <c r="IQ38" s="14"/>
      <c r="IR38" s="14"/>
      <c r="IS38" s="14"/>
      <c r="IT38" s="14"/>
      <c r="IU38" s="14"/>
      <c r="IV38" s="14"/>
      <c r="IW38" s="14"/>
      <c r="IX38" s="14"/>
      <c r="IY38" s="14"/>
      <c r="IZ38" s="14"/>
      <c r="JA38" s="14"/>
      <c r="JB38" s="14"/>
      <c r="JC38" s="14"/>
      <c r="JD38" s="14"/>
      <c r="JE38" s="14"/>
      <c r="JF38" s="14"/>
      <c r="JG38" s="14"/>
      <c r="JH38" s="14"/>
      <c r="JI38" s="14"/>
      <c r="JJ38" s="14"/>
      <c r="JK38" s="14"/>
      <c r="JL38" s="14"/>
      <c r="JM38" s="14"/>
      <c r="JN38" s="14"/>
      <c r="JO38" s="14"/>
      <c r="JP38" s="14"/>
      <c r="JQ38" s="14"/>
      <c r="JR38" s="14"/>
      <c r="JS38" s="14"/>
      <c r="JT38" s="14"/>
      <c r="JU38" s="14"/>
      <c r="JV38" s="14"/>
      <c r="JW38" s="14"/>
      <c r="JX38" s="14"/>
      <c r="JY38" s="14"/>
      <c r="JZ38" s="14"/>
      <c r="KA38" s="14"/>
      <c r="KB38" s="14"/>
      <c r="KC38" s="14"/>
      <c r="KD38" s="14"/>
      <c r="KE38" s="14"/>
      <c r="KF38" s="14"/>
      <c r="KG38" s="14"/>
      <c r="KH38" s="14"/>
      <c r="KI38" s="14"/>
      <c r="KJ38" s="14"/>
      <c r="KK38" s="14"/>
      <c r="KL38" s="14"/>
      <c r="KM38" s="14"/>
      <c r="KN38" s="14"/>
      <c r="KO38" s="14"/>
      <c r="KP38" s="14"/>
      <c r="KQ38" s="14"/>
      <c r="KR38" s="14"/>
      <c r="KS38" s="14"/>
      <c r="KT38" s="14"/>
      <c r="KU38" s="14"/>
      <c r="KV38" s="14"/>
      <c r="KW38" s="14"/>
      <c r="KX38" s="14"/>
      <c r="KY38" s="14"/>
      <c r="KZ38" s="14"/>
      <c r="LA38" s="14"/>
      <c r="LB38" s="14"/>
      <c r="LC38" s="14"/>
      <c r="LD38" s="14"/>
      <c r="LE38" s="14"/>
      <c r="LF38" s="14"/>
      <c r="LG38" s="14"/>
      <c r="LH38" s="14"/>
      <c r="LI38" s="14"/>
      <c r="LJ38" s="14"/>
      <c r="LK38" s="14"/>
      <c r="LL38" s="14"/>
      <c r="LM38" s="14"/>
      <c r="LN38" s="14"/>
      <c r="LO38" s="14"/>
      <c r="LP38" s="14"/>
      <c r="LQ38" s="14"/>
      <c r="LR38" s="14"/>
      <c r="LS38" s="14"/>
      <c r="LT38" s="14"/>
      <c r="LU38" s="14"/>
      <c r="LV38" s="14"/>
      <c r="LW38" s="14"/>
      <c r="LX38" s="14"/>
      <c r="LY38" s="14"/>
      <c r="LZ38" s="14"/>
      <c r="MA38" s="14"/>
      <c r="MB38" s="14"/>
      <c r="MC38" s="14"/>
      <c r="MD38" s="14"/>
      <c r="ME38" s="14"/>
      <c r="MF38" s="14"/>
      <c r="MG38" s="14"/>
      <c r="MH38" s="14"/>
      <c r="MI38" s="14"/>
      <c r="MJ38" s="14"/>
      <c r="MK38" s="14"/>
      <c r="ML38" s="14"/>
      <c r="MM38" s="14"/>
      <c r="MN38" s="14"/>
      <c r="MO38" s="14"/>
      <c r="MP38" s="14"/>
      <c r="MQ38" s="14"/>
      <c r="MR38" s="14"/>
      <c r="MS38" s="14"/>
      <c r="MT38" s="14"/>
      <c r="MU38" s="14"/>
      <c r="MV38" s="14"/>
      <c r="MW38" s="14"/>
      <c r="MX38" s="14"/>
      <c r="MY38" s="14"/>
      <c r="MZ38" s="14"/>
      <c r="NA38" s="14"/>
      <c r="NB38" s="14"/>
      <c r="NC38" s="14"/>
      <c r="ND38" s="14"/>
      <c r="NE38" s="14"/>
      <c r="NF38" s="14"/>
      <c r="NG38" s="14"/>
      <c r="NH38" s="14"/>
      <c r="NI38" s="14"/>
      <c r="NJ38" s="14"/>
      <c r="NK38" s="14"/>
      <c r="NL38" s="14"/>
      <c r="NM38" s="14"/>
      <c r="NN38" s="14"/>
      <c r="NO38" s="14"/>
      <c r="NP38" s="14"/>
      <c r="NQ38" s="14"/>
      <c r="NR38" s="14"/>
      <c r="NS38" s="14"/>
      <c r="NT38" s="14"/>
      <c r="NU38" s="14"/>
      <c r="NV38" s="14"/>
      <c r="NW38" s="14"/>
      <c r="NX38" s="14"/>
      <c r="NY38" s="14"/>
      <c r="NZ38" s="14"/>
      <c r="OA38" s="14"/>
      <c r="OB38" s="14"/>
      <c r="OC38" s="14"/>
      <c r="OD38" s="14"/>
      <c r="OE38" s="14"/>
      <c r="OF38" s="14"/>
      <c r="OG38" s="14"/>
      <c r="OH38" s="14"/>
      <c r="OI38" s="14"/>
      <c r="OJ38" s="14"/>
      <c r="OK38" s="14"/>
      <c r="OL38" s="14"/>
      <c r="OM38" s="14"/>
      <c r="ON38" s="14"/>
      <c r="OO38" s="14"/>
      <c r="OP38" s="14"/>
      <c r="OQ38" s="14"/>
      <c r="OR38" s="14"/>
      <c r="OS38" s="14"/>
      <c r="OT38" s="14"/>
      <c r="OU38" s="14"/>
      <c r="OV38" s="14"/>
      <c r="OW38" s="14"/>
      <c r="OX38" s="14"/>
      <c r="OY38" s="14"/>
      <c r="OZ38" s="14"/>
      <c r="PA38" s="14"/>
      <c r="PB38" s="14"/>
      <c r="PC38" s="14"/>
      <c r="PD38" s="14"/>
      <c r="PE38" s="14"/>
      <c r="PF38" s="14"/>
      <c r="PG38" s="14"/>
      <c r="PH38" s="14"/>
      <c r="PI38" s="14"/>
      <c r="PJ38" s="14"/>
      <c r="PK38" s="14"/>
      <c r="PL38" s="14"/>
      <c r="PM38" s="14"/>
      <c r="PN38" s="14"/>
      <c r="PO38" s="14"/>
      <c r="PP38" s="14"/>
      <c r="PQ38" s="14"/>
      <c r="PR38" s="14"/>
      <c r="PS38" s="14"/>
      <c r="PT38" s="14"/>
      <c r="PU38" s="14"/>
      <c r="PV38" s="14"/>
      <c r="PW38" s="14"/>
      <c r="PX38" s="14"/>
      <c r="PY38" s="14"/>
      <c r="PZ38" s="14"/>
      <c r="QA38" s="14"/>
      <c r="QB38" s="14"/>
      <c r="QC38" s="14"/>
      <c r="QD38" s="14"/>
      <c r="QE38" s="14"/>
      <c r="QF38" s="14"/>
      <c r="QG38" s="14"/>
      <c r="QH38" s="14"/>
      <c r="QI38" s="14"/>
      <c r="QJ38" s="14"/>
      <c r="QK38" s="14"/>
      <c r="QL38" s="14"/>
      <c r="QM38" s="14"/>
      <c r="QN38" s="14"/>
      <c r="QO38" s="14"/>
      <c r="QP38" s="14"/>
      <c r="QQ38" s="14"/>
      <c r="QR38" s="14"/>
      <c r="QS38" s="14"/>
      <c r="QT38" s="14"/>
      <c r="QU38" s="14"/>
      <c r="QV38" s="14"/>
      <c r="QW38" s="14"/>
      <c r="QX38" s="14"/>
      <c r="QY38" s="14"/>
      <c r="QZ38" s="14"/>
      <c r="RA38" s="14"/>
      <c r="RB38" s="14"/>
      <c r="RC38" s="14"/>
      <c r="RD38" s="14"/>
      <c r="RE38" s="14"/>
      <c r="RF38" s="14"/>
      <c r="RG38" s="14"/>
      <c r="RH38" s="14"/>
      <c r="RI38" s="14"/>
      <c r="RJ38" s="14"/>
      <c r="RK38" s="14"/>
      <c r="RL38" s="14"/>
      <c r="RM38" s="14"/>
      <c r="RN38" s="14"/>
      <c r="RO38" s="14"/>
      <c r="RP38" s="14"/>
      <c r="RQ38" s="14"/>
      <c r="RR38" s="14"/>
      <c r="RS38" s="14"/>
      <c r="RT38" s="14"/>
      <c r="RU38" s="14"/>
      <c r="RV38" s="14"/>
      <c r="RW38" s="14"/>
      <c r="RX38" s="14"/>
      <c r="RY38" s="14"/>
      <c r="RZ38" s="14"/>
      <c r="SA38" s="14"/>
      <c r="SB38" s="14"/>
      <c r="SC38" s="14"/>
    </row>
    <row r="39" spans="1:497" ht="27" customHeight="1" x14ac:dyDescent="0.15">
      <c r="A39" s="10">
        <v>5.2</v>
      </c>
      <c r="B39" s="11" t="s">
        <v>106</v>
      </c>
      <c r="C39" s="12"/>
      <c r="D39" s="12"/>
      <c r="E39" s="95"/>
      <c r="F39" s="93"/>
      <c r="G39" s="96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4"/>
      <c r="FK39" s="14"/>
      <c r="FL39" s="14"/>
      <c r="FM39" s="14"/>
      <c r="FN39" s="14"/>
      <c r="FO39" s="14"/>
      <c r="FP39" s="14"/>
      <c r="FQ39" s="14"/>
      <c r="FR39" s="14"/>
      <c r="FS39" s="14"/>
      <c r="FT39" s="14"/>
      <c r="FU39" s="14"/>
      <c r="FV39" s="14"/>
      <c r="FW39" s="14"/>
      <c r="FX39" s="14"/>
      <c r="FY39" s="14"/>
      <c r="FZ39" s="14"/>
      <c r="GA39" s="14"/>
      <c r="GB39" s="14"/>
      <c r="GC39" s="14"/>
      <c r="GD39" s="14"/>
      <c r="GE39" s="14"/>
      <c r="GF39" s="14"/>
      <c r="GG39" s="14"/>
      <c r="GH39" s="14"/>
      <c r="GI39" s="14"/>
      <c r="GJ39" s="14"/>
      <c r="GK39" s="14"/>
      <c r="GL39" s="14"/>
      <c r="GM39" s="14"/>
      <c r="GN39" s="14"/>
      <c r="GO39" s="14"/>
      <c r="GP39" s="14"/>
      <c r="GQ39" s="14"/>
      <c r="GR39" s="14"/>
      <c r="GS39" s="14"/>
      <c r="GT39" s="14"/>
      <c r="GU39" s="14"/>
      <c r="GV39" s="14"/>
      <c r="GW39" s="14"/>
      <c r="GX39" s="14"/>
      <c r="GY39" s="14"/>
      <c r="GZ39" s="14"/>
      <c r="HA39" s="14"/>
      <c r="HB39" s="14"/>
      <c r="HC39" s="14"/>
      <c r="HD39" s="14"/>
      <c r="HE39" s="14"/>
      <c r="HF39" s="14"/>
      <c r="HG39" s="14"/>
      <c r="HH39" s="14"/>
      <c r="HI39" s="14"/>
      <c r="HJ39" s="14"/>
      <c r="HK39" s="14"/>
      <c r="HL39" s="14"/>
      <c r="HM39" s="14"/>
      <c r="HN39" s="14"/>
      <c r="HO39" s="14"/>
      <c r="HP39" s="14"/>
      <c r="HQ39" s="14"/>
      <c r="HR39" s="14"/>
      <c r="HS39" s="14"/>
      <c r="HT39" s="14"/>
      <c r="HU39" s="14"/>
      <c r="HV39" s="14"/>
      <c r="HW39" s="14"/>
      <c r="HX39" s="14"/>
      <c r="HY39" s="14"/>
      <c r="HZ39" s="14"/>
      <c r="IA39" s="14"/>
      <c r="IB39" s="14"/>
      <c r="IC39" s="14"/>
      <c r="ID39" s="14"/>
      <c r="IE39" s="14"/>
      <c r="IF39" s="14"/>
      <c r="IG39" s="14"/>
      <c r="IH39" s="14"/>
      <c r="II39" s="14"/>
      <c r="IJ39" s="14"/>
      <c r="IK39" s="14"/>
      <c r="IL39" s="14"/>
      <c r="IM39" s="14"/>
      <c r="IN39" s="14"/>
      <c r="IO39" s="14"/>
      <c r="IP39" s="14"/>
      <c r="IQ39" s="14"/>
      <c r="IR39" s="14"/>
      <c r="IS39" s="14"/>
      <c r="IT39" s="14"/>
      <c r="IU39" s="14"/>
      <c r="IV39" s="14"/>
      <c r="IW39" s="14"/>
      <c r="IX39" s="14"/>
      <c r="IY39" s="14"/>
      <c r="IZ39" s="14"/>
      <c r="JA39" s="14"/>
      <c r="JB39" s="14"/>
      <c r="JC39" s="14"/>
      <c r="JD39" s="14"/>
      <c r="JE39" s="14"/>
      <c r="JF39" s="14"/>
      <c r="JG39" s="14"/>
      <c r="JH39" s="14"/>
      <c r="JI39" s="14"/>
      <c r="JJ39" s="14"/>
      <c r="JK39" s="14"/>
      <c r="JL39" s="14"/>
      <c r="JM39" s="14"/>
      <c r="JN39" s="14"/>
      <c r="JO39" s="14"/>
      <c r="JP39" s="14"/>
      <c r="JQ39" s="14"/>
      <c r="JR39" s="14"/>
      <c r="JS39" s="14"/>
      <c r="JT39" s="14"/>
      <c r="JU39" s="14"/>
      <c r="JV39" s="14"/>
      <c r="JW39" s="14"/>
      <c r="JX39" s="14"/>
      <c r="JY39" s="14"/>
      <c r="JZ39" s="14"/>
      <c r="KA39" s="14"/>
      <c r="KB39" s="14"/>
      <c r="KC39" s="14"/>
      <c r="KD39" s="14"/>
      <c r="KE39" s="14"/>
      <c r="KF39" s="14"/>
      <c r="KG39" s="14"/>
      <c r="KH39" s="14"/>
      <c r="KI39" s="14"/>
      <c r="KJ39" s="14"/>
      <c r="KK39" s="14"/>
      <c r="KL39" s="14"/>
      <c r="KM39" s="14"/>
      <c r="KN39" s="14"/>
      <c r="KO39" s="14"/>
      <c r="KP39" s="14"/>
      <c r="KQ39" s="14"/>
      <c r="KR39" s="14"/>
      <c r="KS39" s="14"/>
      <c r="KT39" s="14"/>
      <c r="KU39" s="14"/>
      <c r="KV39" s="14"/>
      <c r="KW39" s="14"/>
      <c r="KX39" s="14"/>
      <c r="KY39" s="14"/>
      <c r="KZ39" s="14"/>
      <c r="LA39" s="14"/>
      <c r="LB39" s="14"/>
      <c r="LC39" s="14"/>
      <c r="LD39" s="14"/>
      <c r="LE39" s="14"/>
      <c r="LF39" s="14"/>
      <c r="LG39" s="14"/>
      <c r="LH39" s="14"/>
      <c r="LI39" s="14"/>
      <c r="LJ39" s="14"/>
      <c r="LK39" s="14"/>
      <c r="LL39" s="14"/>
      <c r="LM39" s="14"/>
      <c r="LN39" s="14"/>
      <c r="LO39" s="14"/>
      <c r="LP39" s="14"/>
      <c r="LQ39" s="14"/>
      <c r="LR39" s="14"/>
      <c r="LS39" s="14"/>
      <c r="LT39" s="14"/>
      <c r="LU39" s="14"/>
      <c r="LV39" s="14"/>
      <c r="LW39" s="14"/>
      <c r="LX39" s="14"/>
      <c r="LY39" s="14"/>
      <c r="LZ39" s="14"/>
      <c r="MA39" s="14"/>
      <c r="MB39" s="14"/>
      <c r="MC39" s="14"/>
      <c r="MD39" s="14"/>
      <c r="ME39" s="14"/>
      <c r="MF39" s="14"/>
      <c r="MG39" s="14"/>
      <c r="MH39" s="14"/>
      <c r="MI39" s="14"/>
      <c r="MJ39" s="14"/>
      <c r="MK39" s="14"/>
      <c r="ML39" s="14"/>
      <c r="MM39" s="14"/>
      <c r="MN39" s="14"/>
      <c r="MO39" s="14"/>
      <c r="MP39" s="14"/>
      <c r="MQ39" s="14"/>
      <c r="MR39" s="14"/>
      <c r="MS39" s="14"/>
      <c r="MT39" s="14"/>
      <c r="MU39" s="14"/>
      <c r="MV39" s="14"/>
      <c r="MW39" s="14"/>
      <c r="MX39" s="14"/>
      <c r="MY39" s="14"/>
      <c r="MZ39" s="14"/>
      <c r="NA39" s="14"/>
      <c r="NB39" s="14"/>
      <c r="NC39" s="14"/>
      <c r="ND39" s="14"/>
      <c r="NE39" s="14"/>
      <c r="NF39" s="14"/>
      <c r="NG39" s="14"/>
      <c r="NH39" s="14"/>
      <c r="NI39" s="14"/>
      <c r="NJ39" s="14"/>
      <c r="NK39" s="14"/>
      <c r="NL39" s="14"/>
      <c r="NM39" s="14"/>
      <c r="NN39" s="14"/>
      <c r="NO39" s="14"/>
      <c r="NP39" s="14"/>
      <c r="NQ39" s="14"/>
      <c r="NR39" s="14"/>
      <c r="NS39" s="14"/>
      <c r="NT39" s="14"/>
      <c r="NU39" s="14"/>
      <c r="NV39" s="14"/>
      <c r="NW39" s="14"/>
      <c r="NX39" s="14"/>
      <c r="NY39" s="14"/>
      <c r="NZ39" s="14"/>
      <c r="OA39" s="14"/>
      <c r="OB39" s="14"/>
      <c r="OC39" s="14"/>
      <c r="OD39" s="14"/>
      <c r="OE39" s="14"/>
      <c r="OF39" s="14"/>
      <c r="OG39" s="14"/>
      <c r="OH39" s="14"/>
      <c r="OI39" s="14"/>
      <c r="OJ39" s="14"/>
      <c r="OK39" s="14"/>
      <c r="OL39" s="14"/>
      <c r="OM39" s="14"/>
      <c r="ON39" s="14"/>
      <c r="OO39" s="14"/>
      <c r="OP39" s="14"/>
      <c r="OQ39" s="14"/>
      <c r="OR39" s="14"/>
      <c r="OS39" s="14"/>
      <c r="OT39" s="14"/>
      <c r="OU39" s="14"/>
      <c r="OV39" s="14"/>
      <c r="OW39" s="14"/>
      <c r="OX39" s="14"/>
      <c r="OY39" s="14"/>
      <c r="OZ39" s="14"/>
      <c r="PA39" s="14"/>
      <c r="PB39" s="14"/>
      <c r="PC39" s="14"/>
      <c r="PD39" s="14"/>
      <c r="PE39" s="14"/>
      <c r="PF39" s="14"/>
      <c r="PG39" s="14"/>
      <c r="PH39" s="14"/>
      <c r="PI39" s="14"/>
      <c r="PJ39" s="14"/>
      <c r="PK39" s="14"/>
      <c r="PL39" s="14"/>
      <c r="PM39" s="14"/>
      <c r="PN39" s="14"/>
      <c r="PO39" s="14"/>
      <c r="PP39" s="14"/>
      <c r="PQ39" s="14"/>
      <c r="PR39" s="14"/>
      <c r="PS39" s="14"/>
      <c r="PT39" s="14"/>
      <c r="PU39" s="14"/>
      <c r="PV39" s="14"/>
      <c r="PW39" s="14"/>
      <c r="PX39" s="14"/>
      <c r="PY39" s="14"/>
      <c r="PZ39" s="14"/>
      <c r="QA39" s="14"/>
      <c r="QB39" s="14"/>
      <c r="QC39" s="14"/>
      <c r="QD39" s="14"/>
      <c r="QE39" s="14"/>
      <c r="QF39" s="14"/>
      <c r="QG39" s="14"/>
      <c r="QH39" s="14"/>
      <c r="QI39" s="14"/>
      <c r="QJ39" s="14"/>
      <c r="QK39" s="14"/>
      <c r="QL39" s="14"/>
      <c r="QM39" s="14"/>
      <c r="QN39" s="14"/>
      <c r="QO39" s="14"/>
      <c r="QP39" s="14"/>
      <c r="QQ39" s="14"/>
      <c r="QR39" s="14"/>
      <c r="QS39" s="14"/>
      <c r="QT39" s="14"/>
      <c r="QU39" s="14"/>
      <c r="QV39" s="14"/>
      <c r="QW39" s="14"/>
      <c r="QX39" s="14"/>
      <c r="QY39" s="14"/>
      <c r="QZ39" s="14"/>
      <c r="RA39" s="14"/>
      <c r="RB39" s="14"/>
      <c r="RC39" s="14"/>
      <c r="RD39" s="14"/>
      <c r="RE39" s="14"/>
      <c r="RF39" s="14"/>
      <c r="RG39" s="14"/>
      <c r="RH39" s="14"/>
      <c r="RI39" s="14"/>
      <c r="RJ39" s="14"/>
      <c r="RK39" s="14"/>
      <c r="RL39" s="14"/>
      <c r="RM39" s="14"/>
      <c r="RN39" s="14"/>
      <c r="RO39" s="14"/>
      <c r="RP39" s="14"/>
      <c r="RQ39" s="14"/>
      <c r="RR39" s="14"/>
      <c r="RS39" s="14"/>
      <c r="RT39" s="14"/>
      <c r="RU39" s="14"/>
      <c r="RV39" s="14"/>
      <c r="RW39" s="14"/>
      <c r="RX39" s="14"/>
      <c r="RY39" s="14"/>
      <c r="RZ39" s="14"/>
      <c r="SA39" s="14"/>
      <c r="SB39" s="14"/>
      <c r="SC39" s="14"/>
    </row>
    <row r="40" spans="1:497" ht="27" customHeight="1" x14ac:dyDescent="0.15">
      <c r="A40" s="10">
        <v>5.3</v>
      </c>
      <c r="B40" s="11" t="s">
        <v>116</v>
      </c>
      <c r="C40" s="12"/>
      <c r="D40" s="12"/>
      <c r="E40" s="95"/>
      <c r="F40" s="93"/>
      <c r="G40" s="96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4"/>
      <c r="FJ40" s="14"/>
      <c r="FK40" s="14"/>
      <c r="FL40" s="14"/>
      <c r="FM40" s="14"/>
      <c r="FN40" s="14"/>
      <c r="FO40" s="14"/>
      <c r="FP40" s="14"/>
      <c r="FQ40" s="14"/>
      <c r="FR40" s="14"/>
      <c r="FS40" s="14"/>
      <c r="FT40" s="14"/>
      <c r="FU40" s="14"/>
      <c r="FV40" s="14"/>
      <c r="FW40" s="14"/>
      <c r="FX40" s="14"/>
      <c r="FY40" s="14"/>
      <c r="FZ40" s="14"/>
      <c r="GA40" s="14"/>
      <c r="GB40" s="14"/>
      <c r="GC40" s="14"/>
      <c r="GD40" s="14"/>
      <c r="GE40" s="14"/>
      <c r="GF40" s="14"/>
      <c r="GG40" s="14"/>
      <c r="GH40" s="14"/>
      <c r="GI40" s="14"/>
      <c r="GJ40" s="14"/>
      <c r="GK40" s="14"/>
      <c r="GL40" s="14"/>
      <c r="GM40" s="14"/>
      <c r="GN40" s="14"/>
      <c r="GO40" s="14"/>
      <c r="GP40" s="14"/>
      <c r="GQ40" s="14"/>
      <c r="GR40" s="14"/>
      <c r="GS40" s="14"/>
      <c r="GT40" s="14"/>
      <c r="GU40" s="14"/>
      <c r="GV40" s="14"/>
      <c r="GW40" s="14"/>
      <c r="GX40" s="14"/>
      <c r="GY40" s="14"/>
      <c r="GZ40" s="14"/>
      <c r="HA40" s="14"/>
      <c r="HB40" s="14"/>
      <c r="HC40" s="14"/>
      <c r="HD40" s="14"/>
      <c r="HE40" s="14"/>
      <c r="HF40" s="14"/>
      <c r="HG40" s="14"/>
      <c r="HH40" s="14"/>
      <c r="HI40" s="14"/>
      <c r="HJ40" s="14"/>
      <c r="HK40" s="14"/>
      <c r="HL40" s="14"/>
      <c r="HM40" s="14"/>
      <c r="HN40" s="14"/>
      <c r="HO40" s="14"/>
      <c r="HP40" s="14"/>
      <c r="HQ40" s="14"/>
      <c r="HR40" s="14"/>
      <c r="HS40" s="14"/>
      <c r="HT40" s="14"/>
      <c r="HU40" s="14"/>
      <c r="HV40" s="14"/>
      <c r="HW40" s="14"/>
      <c r="HX40" s="14"/>
      <c r="HY40" s="14"/>
      <c r="HZ40" s="14"/>
      <c r="IA40" s="14"/>
      <c r="IB40" s="14"/>
      <c r="IC40" s="14"/>
      <c r="ID40" s="14"/>
      <c r="IE40" s="14"/>
      <c r="IF40" s="14"/>
      <c r="IG40" s="14"/>
      <c r="IH40" s="14"/>
      <c r="II40" s="14"/>
      <c r="IJ40" s="14"/>
      <c r="IK40" s="14"/>
      <c r="IL40" s="14"/>
      <c r="IM40" s="14"/>
      <c r="IN40" s="14"/>
      <c r="IO40" s="14"/>
      <c r="IP40" s="14"/>
      <c r="IQ40" s="14"/>
      <c r="IR40" s="14"/>
      <c r="IS40" s="14"/>
      <c r="IT40" s="14"/>
      <c r="IU40" s="14"/>
      <c r="IV40" s="14"/>
      <c r="IW40" s="14"/>
      <c r="IX40" s="14"/>
      <c r="IY40" s="14"/>
      <c r="IZ40" s="14"/>
      <c r="JA40" s="14"/>
      <c r="JB40" s="14"/>
      <c r="JC40" s="14"/>
      <c r="JD40" s="14"/>
      <c r="JE40" s="14"/>
      <c r="JF40" s="14"/>
      <c r="JG40" s="14"/>
      <c r="JH40" s="14"/>
      <c r="JI40" s="14"/>
      <c r="JJ40" s="14"/>
      <c r="JK40" s="14"/>
      <c r="JL40" s="14"/>
      <c r="JM40" s="14"/>
      <c r="JN40" s="14"/>
      <c r="JO40" s="14"/>
      <c r="JP40" s="14"/>
      <c r="JQ40" s="14"/>
      <c r="JR40" s="14"/>
      <c r="JS40" s="14"/>
      <c r="JT40" s="14"/>
      <c r="JU40" s="14"/>
      <c r="JV40" s="14"/>
      <c r="JW40" s="14"/>
      <c r="JX40" s="14"/>
      <c r="JY40" s="14"/>
      <c r="JZ40" s="14"/>
      <c r="KA40" s="14"/>
      <c r="KB40" s="14"/>
      <c r="KC40" s="14"/>
      <c r="KD40" s="14"/>
      <c r="KE40" s="14"/>
      <c r="KF40" s="14"/>
      <c r="KG40" s="14"/>
      <c r="KH40" s="14"/>
      <c r="KI40" s="14"/>
      <c r="KJ40" s="14"/>
      <c r="KK40" s="14"/>
      <c r="KL40" s="14"/>
      <c r="KM40" s="14"/>
      <c r="KN40" s="14"/>
      <c r="KO40" s="14"/>
      <c r="KP40" s="14"/>
      <c r="KQ40" s="14"/>
      <c r="KR40" s="14"/>
      <c r="KS40" s="14"/>
      <c r="KT40" s="14"/>
      <c r="KU40" s="14"/>
      <c r="KV40" s="14"/>
      <c r="KW40" s="14"/>
      <c r="KX40" s="14"/>
      <c r="KY40" s="14"/>
      <c r="KZ40" s="14"/>
      <c r="LA40" s="14"/>
      <c r="LB40" s="14"/>
      <c r="LC40" s="14"/>
      <c r="LD40" s="14"/>
      <c r="LE40" s="14"/>
      <c r="LF40" s="14"/>
      <c r="LG40" s="14"/>
      <c r="LH40" s="14"/>
      <c r="LI40" s="14"/>
      <c r="LJ40" s="14"/>
      <c r="LK40" s="14"/>
      <c r="LL40" s="14"/>
      <c r="LM40" s="14"/>
      <c r="LN40" s="14"/>
      <c r="LO40" s="14"/>
      <c r="LP40" s="14"/>
      <c r="LQ40" s="14"/>
      <c r="LR40" s="14"/>
      <c r="LS40" s="14"/>
      <c r="LT40" s="14"/>
      <c r="LU40" s="14"/>
      <c r="LV40" s="14"/>
      <c r="LW40" s="14"/>
      <c r="LX40" s="14"/>
      <c r="LY40" s="14"/>
      <c r="LZ40" s="14"/>
      <c r="MA40" s="14"/>
      <c r="MB40" s="14"/>
      <c r="MC40" s="14"/>
      <c r="MD40" s="14"/>
      <c r="ME40" s="14"/>
      <c r="MF40" s="14"/>
      <c r="MG40" s="14"/>
      <c r="MH40" s="14"/>
      <c r="MI40" s="14"/>
      <c r="MJ40" s="14"/>
      <c r="MK40" s="14"/>
      <c r="ML40" s="14"/>
      <c r="MM40" s="14"/>
      <c r="MN40" s="14"/>
      <c r="MO40" s="14"/>
      <c r="MP40" s="14"/>
      <c r="MQ40" s="14"/>
      <c r="MR40" s="14"/>
      <c r="MS40" s="14"/>
      <c r="MT40" s="14"/>
      <c r="MU40" s="14"/>
      <c r="MV40" s="14"/>
      <c r="MW40" s="14"/>
      <c r="MX40" s="14"/>
      <c r="MY40" s="14"/>
      <c r="MZ40" s="14"/>
      <c r="NA40" s="14"/>
      <c r="NB40" s="14"/>
      <c r="NC40" s="14"/>
      <c r="ND40" s="14"/>
      <c r="NE40" s="14"/>
      <c r="NF40" s="14"/>
      <c r="NG40" s="14"/>
      <c r="NH40" s="14"/>
      <c r="NI40" s="14"/>
      <c r="NJ40" s="14"/>
      <c r="NK40" s="14"/>
      <c r="NL40" s="14"/>
      <c r="NM40" s="14"/>
      <c r="NN40" s="14"/>
      <c r="NO40" s="14"/>
      <c r="NP40" s="14"/>
      <c r="NQ40" s="14"/>
      <c r="NR40" s="14"/>
      <c r="NS40" s="14"/>
      <c r="NT40" s="14"/>
      <c r="NU40" s="14"/>
      <c r="NV40" s="14"/>
      <c r="NW40" s="14"/>
      <c r="NX40" s="14"/>
      <c r="NY40" s="14"/>
      <c r="NZ40" s="14"/>
      <c r="OA40" s="14"/>
      <c r="OB40" s="14"/>
      <c r="OC40" s="14"/>
      <c r="OD40" s="14"/>
      <c r="OE40" s="14"/>
      <c r="OF40" s="14"/>
      <c r="OG40" s="14"/>
      <c r="OH40" s="14"/>
      <c r="OI40" s="14"/>
      <c r="OJ40" s="14"/>
      <c r="OK40" s="14"/>
      <c r="OL40" s="14"/>
      <c r="OM40" s="14"/>
      <c r="ON40" s="14"/>
      <c r="OO40" s="14"/>
      <c r="OP40" s="14"/>
      <c r="OQ40" s="14"/>
      <c r="OR40" s="14"/>
      <c r="OS40" s="14"/>
      <c r="OT40" s="14"/>
      <c r="OU40" s="14"/>
      <c r="OV40" s="14"/>
      <c r="OW40" s="14"/>
      <c r="OX40" s="14"/>
      <c r="OY40" s="14"/>
      <c r="OZ40" s="14"/>
      <c r="PA40" s="14"/>
      <c r="PB40" s="14"/>
      <c r="PC40" s="14"/>
      <c r="PD40" s="14"/>
      <c r="PE40" s="14"/>
      <c r="PF40" s="14"/>
      <c r="PG40" s="14"/>
      <c r="PH40" s="14"/>
      <c r="PI40" s="14"/>
      <c r="PJ40" s="14"/>
      <c r="PK40" s="14"/>
      <c r="PL40" s="14"/>
      <c r="PM40" s="14"/>
      <c r="PN40" s="14"/>
      <c r="PO40" s="14"/>
      <c r="PP40" s="14"/>
      <c r="PQ40" s="14"/>
      <c r="PR40" s="14"/>
      <c r="PS40" s="14"/>
      <c r="PT40" s="14"/>
      <c r="PU40" s="14"/>
      <c r="PV40" s="14"/>
      <c r="PW40" s="14"/>
      <c r="PX40" s="14"/>
      <c r="PY40" s="14"/>
      <c r="PZ40" s="14"/>
      <c r="QA40" s="14"/>
      <c r="QB40" s="14"/>
      <c r="QC40" s="14"/>
      <c r="QD40" s="14"/>
      <c r="QE40" s="14"/>
      <c r="QF40" s="14"/>
      <c r="QG40" s="14"/>
      <c r="QH40" s="14"/>
      <c r="QI40" s="14"/>
      <c r="QJ40" s="14"/>
      <c r="QK40" s="14"/>
      <c r="QL40" s="14"/>
      <c r="QM40" s="14"/>
      <c r="QN40" s="14"/>
      <c r="QO40" s="14"/>
      <c r="QP40" s="14"/>
      <c r="QQ40" s="14"/>
      <c r="QR40" s="14"/>
      <c r="QS40" s="14"/>
      <c r="QT40" s="14"/>
      <c r="QU40" s="14"/>
      <c r="QV40" s="14"/>
      <c r="QW40" s="14"/>
      <c r="QX40" s="14"/>
      <c r="QY40" s="14"/>
      <c r="QZ40" s="14"/>
      <c r="RA40" s="14"/>
      <c r="RB40" s="14"/>
      <c r="RC40" s="14"/>
      <c r="RD40" s="14"/>
      <c r="RE40" s="14"/>
      <c r="RF40" s="14"/>
      <c r="RG40" s="14"/>
      <c r="RH40" s="14"/>
      <c r="RI40" s="14"/>
      <c r="RJ40" s="14"/>
      <c r="RK40" s="14"/>
      <c r="RL40" s="14"/>
      <c r="RM40" s="14"/>
      <c r="RN40" s="14"/>
      <c r="RO40" s="14"/>
      <c r="RP40" s="14"/>
      <c r="RQ40" s="14"/>
      <c r="RR40" s="14"/>
      <c r="RS40" s="14"/>
      <c r="RT40" s="14"/>
      <c r="RU40" s="14"/>
      <c r="RV40" s="14"/>
      <c r="RW40" s="14"/>
      <c r="RX40" s="14"/>
      <c r="RY40" s="14"/>
      <c r="RZ40" s="14"/>
      <c r="SA40" s="14"/>
      <c r="SB40" s="14"/>
      <c r="SC40" s="14"/>
    </row>
    <row r="41" spans="1:497" ht="27" customHeight="1" thickTop="1" thickBot="1" x14ac:dyDescent="0.2">
      <c r="A41" s="10">
        <v>5.4</v>
      </c>
      <c r="B41" s="11" t="s">
        <v>107</v>
      </c>
      <c r="C41" s="12"/>
      <c r="D41" s="12"/>
      <c r="E41" s="95"/>
      <c r="F41" s="93"/>
      <c r="G41" s="96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  <c r="FG41" s="14"/>
      <c r="FH41" s="14"/>
      <c r="FI41" s="14"/>
      <c r="FJ41" s="14"/>
      <c r="FK41" s="14"/>
      <c r="FL41" s="14"/>
      <c r="FM41" s="14"/>
      <c r="FN41" s="14"/>
      <c r="FO41" s="14"/>
      <c r="FP41" s="14"/>
      <c r="FQ41" s="14"/>
      <c r="FR41" s="14"/>
      <c r="FS41" s="14"/>
      <c r="FT41" s="14"/>
      <c r="FU41" s="14"/>
      <c r="FV41" s="14"/>
      <c r="FW41" s="14"/>
      <c r="FX41" s="14"/>
      <c r="FY41" s="14"/>
      <c r="FZ41" s="14"/>
      <c r="GA41" s="14"/>
      <c r="GB41" s="14"/>
      <c r="GC41" s="14"/>
      <c r="GD41" s="14"/>
      <c r="GE41" s="14"/>
      <c r="GF41" s="14"/>
      <c r="GG41" s="14"/>
      <c r="GH41" s="14"/>
      <c r="GI41" s="14"/>
      <c r="GJ41" s="14"/>
      <c r="GK41" s="14"/>
      <c r="GL41" s="14"/>
      <c r="GM41" s="14"/>
      <c r="GN41" s="14"/>
      <c r="GO41" s="14"/>
      <c r="GP41" s="14"/>
      <c r="GQ41" s="14"/>
      <c r="GR41" s="14"/>
      <c r="GS41" s="14"/>
      <c r="GT41" s="14"/>
      <c r="GU41" s="14"/>
      <c r="GV41" s="14"/>
      <c r="GW41" s="14"/>
      <c r="GX41" s="14"/>
      <c r="GY41" s="14"/>
      <c r="GZ41" s="14"/>
      <c r="HA41" s="14"/>
      <c r="HB41" s="14"/>
      <c r="HC41" s="14"/>
      <c r="HD41" s="14"/>
      <c r="HE41" s="14"/>
      <c r="HF41" s="14"/>
      <c r="HG41" s="14"/>
      <c r="HH41" s="14"/>
      <c r="HI41" s="14"/>
      <c r="HJ41" s="14"/>
      <c r="HK41" s="14"/>
      <c r="HL41" s="14"/>
      <c r="HM41" s="14"/>
      <c r="HN41" s="14"/>
      <c r="HO41" s="14"/>
      <c r="HP41" s="14"/>
      <c r="HQ41" s="14"/>
      <c r="HR41" s="14"/>
      <c r="HS41" s="14"/>
      <c r="HT41" s="14"/>
      <c r="HU41" s="14"/>
      <c r="HV41" s="14"/>
      <c r="HW41" s="14"/>
      <c r="HX41" s="14"/>
      <c r="HY41" s="14"/>
      <c r="HZ41" s="14"/>
      <c r="IA41" s="14"/>
      <c r="IB41" s="14"/>
      <c r="IC41" s="14"/>
      <c r="ID41" s="14"/>
      <c r="IE41" s="14"/>
      <c r="IF41" s="14"/>
      <c r="IG41" s="14"/>
      <c r="IH41" s="14"/>
      <c r="II41" s="14"/>
      <c r="IJ41" s="14"/>
      <c r="IK41" s="14"/>
      <c r="IL41" s="14"/>
      <c r="IM41" s="14"/>
      <c r="IN41" s="14"/>
      <c r="IO41" s="14"/>
      <c r="IP41" s="14"/>
      <c r="IQ41" s="14"/>
      <c r="IR41" s="14"/>
      <c r="IS41" s="14"/>
      <c r="IT41" s="14"/>
      <c r="IU41" s="14"/>
      <c r="IV41" s="14"/>
      <c r="IW41" s="14"/>
      <c r="IX41" s="14"/>
      <c r="IY41" s="14"/>
      <c r="IZ41" s="14"/>
      <c r="JA41" s="14"/>
      <c r="JB41" s="14"/>
      <c r="JC41" s="14"/>
      <c r="JD41" s="14"/>
      <c r="JE41" s="14"/>
      <c r="JF41" s="14"/>
      <c r="JG41" s="14"/>
      <c r="JH41" s="14"/>
      <c r="JI41" s="14"/>
      <c r="JJ41" s="14"/>
      <c r="JK41" s="14"/>
      <c r="JL41" s="14"/>
      <c r="JM41" s="14"/>
      <c r="JN41" s="14"/>
      <c r="JO41" s="14"/>
      <c r="JP41" s="14"/>
      <c r="JQ41" s="14"/>
      <c r="JR41" s="14"/>
      <c r="JS41" s="14"/>
      <c r="JT41" s="14"/>
      <c r="JU41" s="14"/>
      <c r="JV41" s="14"/>
      <c r="JW41" s="14"/>
      <c r="JX41" s="14"/>
      <c r="JY41" s="14"/>
      <c r="JZ41" s="14"/>
      <c r="KA41" s="14"/>
      <c r="KB41" s="14"/>
      <c r="KC41" s="14"/>
      <c r="KD41" s="14"/>
      <c r="KE41" s="14"/>
      <c r="KF41" s="14"/>
      <c r="KG41" s="14"/>
      <c r="KH41" s="14"/>
      <c r="KI41" s="14"/>
      <c r="KJ41" s="14"/>
      <c r="KK41" s="14"/>
      <c r="KL41" s="14"/>
      <c r="KM41" s="14"/>
      <c r="KN41" s="14"/>
      <c r="KO41" s="14"/>
      <c r="KP41" s="14"/>
      <c r="KQ41" s="14"/>
      <c r="KR41" s="14"/>
      <c r="KS41" s="14"/>
      <c r="KT41" s="14"/>
      <c r="KU41" s="14"/>
      <c r="KV41" s="14"/>
      <c r="KW41" s="14"/>
      <c r="KX41" s="14"/>
      <c r="KY41" s="14"/>
      <c r="KZ41" s="14"/>
      <c r="LA41" s="14"/>
      <c r="LB41" s="14"/>
      <c r="LC41" s="14"/>
      <c r="LD41" s="14"/>
      <c r="LE41" s="14"/>
      <c r="LF41" s="14"/>
      <c r="LG41" s="14"/>
      <c r="LH41" s="14"/>
      <c r="LI41" s="14"/>
      <c r="LJ41" s="14"/>
      <c r="LK41" s="14"/>
      <c r="LL41" s="14"/>
      <c r="LM41" s="14"/>
      <c r="LN41" s="14"/>
      <c r="LO41" s="14"/>
      <c r="LP41" s="14"/>
      <c r="LQ41" s="14"/>
      <c r="LR41" s="14"/>
      <c r="LS41" s="14"/>
      <c r="LT41" s="14"/>
      <c r="LU41" s="14"/>
      <c r="LV41" s="14"/>
      <c r="LW41" s="14"/>
      <c r="LX41" s="14"/>
      <c r="LY41" s="14"/>
      <c r="LZ41" s="14"/>
      <c r="MA41" s="14"/>
      <c r="MB41" s="14"/>
      <c r="MC41" s="14"/>
      <c r="MD41" s="14"/>
      <c r="ME41" s="14"/>
      <c r="MF41" s="14"/>
      <c r="MG41" s="14"/>
      <c r="MH41" s="14"/>
      <c r="MI41" s="14"/>
      <c r="MJ41" s="14"/>
      <c r="MK41" s="14"/>
      <c r="ML41" s="14"/>
      <c r="MM41" s="14"/>
      <c r="MN41" s="14"/>
      <c r="MO41" s="14"/>
      <c r="MP41" s="14"/>
      <c r="MQ41" s="14"/>
      <c r="MR41" s="14"/>
      <c r="MS41" s="14"/>
      <c r="MT41" s="14"/>
      <c r="MU41" s="14"/>
      <c r="MV41" s="14"/>
      <c r="MW41" s="14"/>
      <c r="MX41" s="14"/>
      <c r="MY41" s="14"/>
      <c r="MZ41" s="14"/>
      <c r="NA41" s="14"/>
      <c r="NB41" s="14"/>
      <c r="NC41" s="14"/>
      <c r="ND41" s="14"/>
      <c r="NE41" s="14"/>
      <c r="NF41" s="14"/>
      <c r="NG41" s="14"/>
      <c r="NH41" s="14"/>
      <c r="NI41" s="14"/>
      <c r="NJ41" s="14"/>
      <c r="NK41" s="14"/>
      <c r="NL41" s="14"/>
      <c r="NM41" s="14"/>
      <c r="NN41" s="14"/>
      <c r="NO41" s="14"/>
      <c r="NP41" s="14"/>
      <c r="NQ41" s="14"/>
      <c r="NR41" s="14"/>
      <c r="NS41" s="14"/>
      <c r="NT41" s="14"/>
      <c r="NU41" s="14"/>
      <c r="NV41" s="14"/>
      <c r="NW41" s="14"/>
      <c r="NX41" s="14"/>
      <c r="NY41" s="14"/>
      <c r="NZ41" s="14"/>
      <c r="OA41" s="14"/>
      <c r="OB41" s="14"/>
      <c r="OC41" s="14"/>
      <c r="OD41" s="14"/>
      <c r="OE41" s="14"/>
      <c r="OF41" s="14"/>
      <c r="OG41" s="14"/>
      <c r="OH41" s="14"/>
      <c r="OI41" s="14"/>
      <c r="OJ41" s="14"/>
      <c r="OK41" s="14"/>
      <c r="OL41" s="14"/>
      <c r="OM41" s="14"/>
      <c r="ON41" s="14"/>
      <c r="OO41" s="14"/>
      <c r="OP41" s="14"/>
      <c r="OQ41" s="14"/>
      <c r="OR41" s="14"/>
      <c r="OS41" s="14"/>
      <c r="OT41" s="14"/>
      <c r="OU41" s="14"/>
      <c r="OV41" s="14"/>
      <c r="OW41" s="14"/>
      <c r="OX41" s="14"/>
      <c r="OY41" s="14"/>
      <c r="OZ41" s="14"/>
      <c r="PA41" s="14"/>
      <c r="PB41" s="14"/>
      <c r="PC41" s="14"/>
      <c r="PD41" s="14"/>
      <c r="PE41" s="14"/>
      <c r="PF41" s="14"/>
      <c r="PG41" s="14"/>
      <c r="PH41" s="14"/>
      <c r="PI41" s="14"/>
      <c r="PJ41" s="14"/>
      <c r="PK41" s="14"/>
      <c r="PL41" s="14"/>
      <c r="PM41" s="14"/>
      <c r="PN41" s="14"/>
      <c r="PO41" s="14"/>
      <c r="PP41" s="14"/>
      <c r="PQ41" s="14"/>
      <c r="PR41" s="14"/>
      <c r="PS41" s="14"/>
      <c r="PT41" s="14"/>
      <c r="PU41" s="14"/>
      <c r="PV41" s="14"/>
      <c r="PW41" s="14"/>
      <c r="PX41" s="14"/>
      <c r="PY41" s="14"/>
      <c r="PZ41" s="14"/>
      <c r="QA41" s="14"/>
      <c r="QB41" s="14"/>
      <c r="QC41" s="14"/>
      <c r="QD41" s="14"/>
      <c r="QE41" s="14"/>
      <c r="QF41" s="14"/>
      <c r="QG41" s="14"/>
      <c r="QH41" s="14"/>
      <c r="QI41" s="14"/>
      <c r="QJ41" s="14"/>
      <c r="QK41" s="14"/>
      <c r="QL41" s="14"/>
      <c r="QM41" s="14"/>
      <c r="QN41" s="14"/>
      <c r="QO41" s="14"/>
      <c r="QP41" s="14"/>
      <c r="QQ41" s="14"/>
      <c r="QR41" s="14"/>
      <c r="QS41" s="14"/>
      <c r="QT41" s="14"/>
      <c r="QU41" s="14"/>
      <c r="QV41" s="14"/>
      <c r="QW41" s="14"/>
      <c r="QX41" s="14"/>
      <c r="QY41" s="14"/>
      <c r="QZ41" s="14"/>
      <c r="RA41" s="14"/>
      <c r="RB41" s="14"/>
      <c r="RC41" s="14"/>
      <c r="RD41" s="14"/>
      <c r="RE41" s="14"/>
      <c r="RF41" s="14"/>
      <c r="RG41" s="14"/>
      <c r="RH41" s="14"/>
      <c r="RI41" s="14"/>
      <c r="RJ41" s="14"/>
      <c r="RK41" s="14"/>
      <c r="RL41" s="14"/>
      <c r="RM41" s="14"/>
      <c r="RN41" s="14"/>
      <c r="RO41" s="14"/>
      <c r="RP41" s="14"/>
      <c r="RQ41" s="14"/>
      <c r="RR41" s="14"/>
      <c r="RS41" s="14"/>
      <c r="RT41" s="14"/>
      <c r="RU41" s="14"/>
      <c r="RV41" s="14"/>
      <c r="RW41" s="14"/>
      <c r="RX41" s="14"/>
      <c r="RY41" s="14"/>
      <c r="RZ41" s="14"/>
      <c r="SA41" s="14"/>
      <c r="SB41" s="14"/>
      <c r="SC41" s="14"/>
    </row>
    <row r="42" spans="1:497" ht="27" customHeight="1" thickTop="1" thickBot="1" x14ac:dyDescent="0.2">
      <c r="A42" s="10">
        <v>5.5</v>
      </c>
      <c r="B42" s="11" t="s">
        <v>108</v>
      </c>
      <c r="C42" s="12"/>
      <c r="D42" s="12"/>
      <c r="E42" s="95"/>
      <c r="F42" s="93"/>
      <c r="G42" s="96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  <c r="FG42" s="14"/>
      <c r="FH42" s="14"/>
      <c r="FI42" s="14"/>
      <c r="FJ42" s="14"/>
      <c r="FK42" s="14"/>
      <c r="FL42" s="14"/>
      <c r="FM42" s="14"/>
      <c r="FN42" s="14"/>
      <c r="FO42" s="14"/>
      <c r="FP42" s="14"/>
      <c r="FQ42" s="14"/>
      <c r="FR42" s="14"/>
      <c r="FS42" s="14"/>
      <c r="FT42" s="14"/>
      <c r="FU42" s="14"/>
      <c r="FV42" s="14"/>
      <c r="FW42" s="14"/>
      <c r="FX42" s="14"/>
      <c r="FY42" s="14"/>
      <c r="FZ42" s="14"/>
      <c r="GA42" s="14"/>
      <c r="GB42" s="14"/>
      <c r="GC42" s="14"/>
      <c r="GD42" s="14"/>
      <c r="GE42" s="14"/>
      <c r="GF42" s="14"/>
      <c r="GG42" s="14"/>
      <c r="GH42" s="14"/>
      <c r="GI42" s="14"/>
      <c r="GJ42" s="14"/>
      <c r="GK42" s="14"/>
      <c r="GL42" s="14"/>
      <c r="GM42" s="14"/>
      <c r="GN42" s="14"/>
      <c r="GO42" s="14"/>
      <c r="GP42" s="14"/>
      <c r="GQ42" s="14"/>
      <c r="GR42" s="14"/>
      <c r="GS42" s="14"/>
      <c r="GT42" s="14"/>
      <c r="GU42" s="14"/>
      <c r="GV42" s="14"/>
      <c r="GW42" s="14"/>
      <c r="GX42" s="14"/>
      <c r="GY42" s="14"/>
      <c r="GZ42" s="14"/>
      <c r="HA42" s="14"/>
      <c r="HB42" s="14"/>
      <c r="HC42" s="14"/>
      <c r="HD42" s="14"/>
      <c r="HE42" s="14"/>
      <c r="HF42" s="14"/>
      <c r="HG42" s="14"/>
      <c r="HH42" s="14"/>
      <c r="HI42" s="14"/>
      <c r="HJ42" s="14"/>
      <c r="HK42" s="14"/>
      <c r="HL42" s="14"/>
      <c r="HM42" s="14"/>
      <c r="HN42" s="14"/>
      <c r="HO42" s="14"/>
      <c r="HP42" s="14"/>
      <c r="HQ42" s="14"/>
      <c r="HR42" s="14"/>
      <c r="HS42" s="14"/>
      <c r="HT42" s="14"/>
      <c r="HU42" s="14"/>
      <c r="HV42" s="14"/>
      <c r="HW42" s="14"/>
      <c r="HX42" s="14"/>
      <c r="HY42" s="14"/>
      <c r="HZ42" s="14"/>
      <c r="IA42" s="14"/>
      <c r="IB42" s="14"/>
      <c r="IC42" s="14"/>
      <c r="ID42" s="14"/>
      <c r="IE42" s="14"/>
      <c r="IF42" s="14"/>
      <c r="IG42" s="14"/>
      <c r="IH42" s="14"/>
      <c r="II42" s="14"/>
      <c r="IJ42" s="14"/>
      <c r="IK42" s="14"/>
      <c r="IL42" s="14"/>
      <c r="IM42" s="14"/>
      <c r="IN42" s="14"/>
      <c r="IO42" s="14"/>
      <c r="IP42" s="14"/>
      <c r="IQ42" s="14"/>
      <c r="IR42" s="14"/>
      <c r="IS42" s="14"/>
      <c r="IT42" s="14"/>
      <c r="IU42" s="14"/>
      <c r="IV42" s="14"/>
      <c r="IW42" s="14"/>
      <c r="IX42" s="14"/>
      <c r="IY42" s="14"/>
      <c r="IZ42" s="14"/>
      <c r="JA42" s="14"/>
      <c r="JB42" s="14"/>
      <c r="JC42" s="14"/>
      <c r="JD42" s="14"/>
      <c r="JE42" s="14"/>
      <c r="JF42" s="14"/>
      <c r="JG42" s="14"/>
      <c r="JH42" s="14"/>
      <c r="JI42" s="14"/>
      <c r="JJ42" s="14"/>
      <c r="JK42" s="14"/>
      <c r="JL42" s="14"/>
      <c r="JM42" s="14"/>
      <c r="JN42" s="14"/>
      <c r="JO42" s="14"/>
      <c r="JP42" s="14"/>
      <c r="JQ42" s="14"/>
      <c r="JR42" s="14"/>
      <c r="JS42" s="14"/>
      <c r="JT42" s="14"/>
      <c r="JU42" s="14"/>
      <c r="JV42" s="14"/>
      <c r="JW42" s="14"/>
      <c r="JX42" s="14"/>
      <c r="JY42" s="14"/>
      <c r="JZ42" s="14"/>
      <c r="KA42" s="14"/>
      <c r="KB42" s="14"/>
      <c r="KC42" s="14"/>
      <c r="KD42" s="14"/>
      <c r="KE42" s="14"/>
      <c r="KF42" s="14"/>
      <c r="KG42" s="14"/>
      <c r="KH42" s="14"/>
      <c r="KI42" s="14"/>
      <c r="KJ42" s="14"/>
      <c r="KK42" s="14"/>
      <c r="KL42" s="14"/>
      <c r="KM42" s="14"/>
      <c r="KN42" s="14"/>
      <c r="KO42" s="14"/>
      <c r="KP42" s="14"/>
      <c r="KQ42" s="14"/>
      <c r="KR42" s="14"/>
      <c r="KS42" s="14"/>
      <c r="KT42" s="14"/>
      <c r="KU42" s="14"/>
      <c r="KV42" s="14"/>
      <c r="KW42" s="14"/>
      <c r="KX42" s="14"/>
      <c r="KY42" s="14"/>
      <c r="KZ42" s="14"/>
      <c r="LA42" s="14"/>
      <c r="LB42" s="14"/>
      <c r="LC42" s="14"/>
      <c r="LD42" s="14"/>
      <c r="LE42" s="14"/>
      <c r="LF42" s="14"/>
      <c r="LG42" s="14"/>
      <c r="LH42" s="14"/>
      <c r="LI42" s="14"/>
      <c r="LJ42" s="14"/>
      <c r="LK42" s="14"/>
      <c r="LL42" s="14"/>
      <c r="LM42" s="14"/>
      <c r="LN42" s="14"/>
      <c r="LO42" s="14"/>
      <c r="LP42" s="14"/>
      <c r="LQ42" s="14"/>
      <c r="LR42" s="14"/>
      <c r="LS42" s="14"/>
      <c r="LT42" s="14"/>
      <c r="LU42" s="14"/>
      <c r="LV42" s="14"/>
      <c r="LW42" s="14"/>
      <c r="LX42" s="14"/>
      <c r="LY42" s="14"/>
      <c r="LZ42" s="14"/>
      <c r="MA42" s="14"/>
      <c r="MB42" s="14"/>
      <c r="MC42" s="14"/>
      <c r="MD42" s="14"/>
      <c r="ME42" s="14"/>
      <c r="MF42" s="14"/>
      <c r="MG42" s="14"/>
      <c r="MH42" s="14"/>
      <c r="MI42" s="14"/>
      <c r="MJ42" s="14"/>
      <c r="MK42" s="14"/>
      <c r="ML42" s="14"/>
      <c r="MM42" s="14"/>
      <c r="MN42" s="14"/>
      <c r="MO42" s="14"/>
      <c r="MP42" s="14"/>
      <c r="MQ42" s="14"/>
      <c r="MR42" s="14"/>
      <c r="MS42" s="14"/>
      <c r="MT42" s="14"/>
      <c r="MU42" s="14"/>
      <c r="MV42" s="14"/>
      <c r="MW42" s="14"/>
      <c r="MX42" s="14"/>
      <c r="MY42" s="14"/>
      <c r="MZ42" s="14"/>
      <c r="NA42" s="14"/>
      <c r="NB42" s="14"/>
      <c r="NC42" s="14"/>
      <c r="ND42" s="14"/>
      <c r="NE42" s="14"/>
      <c r="NF42" s="14"/>
      <c r="NG42" s="14"/>
      <c r="NH42" s="14"/>
      <c r="NI42" s="14"/>
      <c r="NJ42" s="14"/>
      <c r="NK42" s="14"/>
      <c r="NL42" s="14"/>
      <c r="NM42" s="14"/>
      <c r="NN42" s="14"/>
      <c r="NO42" s="14"/>
      <c r="NP42" s="14"/>
      <c r="NQ42" s="14"/>
      <c r="NR42" s="14"/>
      <c r="NS42" s="14"/>
      <c r="NT42" s="14"/>
      <c r="NU42" s="14"/>
      <c r="NV42" s="14"/>
      <c r="NW42" s="14"/>
      <c r="NX42" s="14"/>
      <c r="NY42" s="14"/>
      <c r="NZ42" s="14"/>
      <c r="OA42" s="14"/>
      <c r="OB42" s="14"/>
      <c r="OC42" s="14"/>
      <c r="OD42" s="14"/>
      <c r="OE42" s="14"/>
      <c r="OF42" s="14"/>
      <c r="OG42" s="14"/>
      <c r="OH42" s="14"/>
      <c r="OI42" s="14"/>
      <c r="OJ42" s="14"/>
      <c r="OK42" s="14"/>
      <c r="OL42" s="14"/>
      <c r="OM42" s="14"/>
      <c r="ON42" s="14"/>
      <c r="OO42" s="14"/>
      <c r="OP42" s="14"/>
      <c r="OQ42" s="14"/>
      <c r="OR42" s="14"/>
      <c r="OS42" s="14"/>
      <c r="OT42" s="14"/>
      <c r="OU42" s="14"/>
      <c r="OV42" s="14"/>
      <c r="OW42" s="14"/>
      <c r="OX42" s="14"/>
      <c r="OY42" s="14"/>
      <c r="OZ42" s="14"/>
      <c r="PA42" s="14"/>
      <c r="PB42" s="14"/>
      <c r="PC42" s="14"/>
      <c r="PD42" s="14"/>
      <c r="PE42" s="14"/>
      <c r="PF42" s="14"/>
      <c r="PG42" s="14"/>
      <c r="PH42" s="14"/>
      <c r="PI42" s="14"/>
      <c r="PJ42" s="14"/>
      <c r="PK42" s="14"/>
      <c r="PL42" s="14"/>
      <c r="PM42" s="14"/>
      <c r="PN42" s="14"/>
      <c r="PO42" s="14"/>
      <c r="PP42" s="14"/>
      <c r="PQ42" s="14"/>
      <c r="PR42" s="14"/>
      <c r="PS42" s="14"/>
      <c r="PT42" s="14"/>
      <c r="PU42" s="14"/>
      <c r="PV42" s="14"/>
      <c r="PW42" s="14"/>
      <c r="PX42" s="14"/>
      <c r="PY42" s="14"/>
      <c r="PZ42" s="14"/>
      <c r="QA42" s="14"/>
      <c r="QB42" s="14"/>
      <c r="QC42" s="14"/>
      <c r="QD42" s="14"/>
      <c r="QE42" s="14"/>
      <c r="QF42" s="14"/>
      <c r="QG42" s="14"/>
      <c r="QH42" s="14"/>
      <c r="QI42" s="14"/>
      <c r="QJ42" s="14"/>
      <c r="QK42" s="14"/>
      <c r="QL42" s="14"/>
      <c r="QM42" s="14"/>
      <c r="QN42" s="14"/>
      <c r="QO42" s="14"/>
      <c r="QP42" s="14"/>
      <c r="QQ42" s="14"/>
      <c r="QR42" s="14"/>
      <c r="QS42" s="14"/>
      <c r="QT42" s="14"/>
      <c r="QU42" s="14"/>
      <c r="QV42" s="14"/>
      <c r="QW42" s="14"/>
      <c r="QX42" s="14"/>
      <c r="QY42" s="14"/>
      <c r="QZ42" s="14"/>
      <c r="RA42" s="14"/>
      <c r="RB42" s="14"/>
      <c r="RC42" s="14"/>
      <c r="RD42" s="14"/>
      <c r="RE42" s="14"/>
      <c r="RF42" s="14"/>
      <c r="RG42" s="14"/>
      <c r="RH42" s="14"/>
      <c r="RI42" s="14"/>
      <c r="RJ42" s="14"/>
      <c r="RK42" s="14"/>
      <c r="RL42" s="14"/>
      <c r="RM42" s="14"/>
      <c r="RN42" s="14"/>
      <c r="RO42" s="14"/>
      <c r="RP42" s="14"/>
      <c r="RQ42" s="14"/>
      <c r="RR42" s="14"/>
      <c r="RS42" s="14"/>
      <c r="RT42" s="14"/>
      <c r="RU42" s="14"/>
      <c r="RV42" s="14"/>
      <c r="RW42" s="14"/>
      <c r="RX42" s="14"/>
      <c r="RY42" s="14"/>
      <c r="RZ42" s="14"/>
      <c r="SA42" s="14"/>
      <c r="SB42" s="14"/>
      <c r="SC42" s="14"/>
    </row>
    <row r="43" spans="1:497" ht="27" customHeight="1" thickTop="1" thickBot="1" x14ac:dyDescent="0.2">
      <c r="A43" s="129" t="s">
        <v>117</v>
      </c>
      <c r="B43" s="130"/>
      <c r="C43" s="15"/>
      <c r="D43" s="15"/>
      <c r="E43" s="16"/>
      <c r="F43" s="98"/>
      <c r="G43" s="91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  <c r="FG43" s="14"/>
      <c r="FH43" s="14"/>
      <c r="FI43" s="14"/>
      <c r="FJ43" s="14"/>
      <c r="FK43" s="14"/>
      <c r="FL43" s="14"/>
      <c r="FM43" s="14"/>
      <c r="FN43" s="14"/>
      <c r="FO43" s="14"/>
      <c r="FP43" s="14"/>
      <c r="FQ43" s="14"/>
      <c r="FR43" s="14"/>
      <c r="FS43" s="14"/>
      <c r="FT43" s="14"/>
      <c r="FU43" s="14"/>
      <c r="FV43" s="14"/>
      <c r="FW43" s="14"/>
      <c r="FX43" s="14"/>
      <c r="FY43" s="14"/>
      <c r="FZ43" s="14"/>
      <c r="GA43" s="14"/>
      <c r="GB43" s="14"/>
      <c r="GC43" s="14"/>
      <c r="GD43" s="14"/>
      <c r="GE43" s="14"/>
      <c r="GF43" s="14"/>
      <c r="GG43" s="14"/>
      <c r="GH43" s="14"/>
      <c r="GI43" s="14"/>
      <c r="GJ43" s="14"/>
      <c r="GK43" s="14"/>
      <c r="GL43" s="14"/>
      <c r="GM43" s="14"/>
      <c r="GN43" s="14"/>
      <c r="GO43" s="14"/>
      <c r="GP43" s="14"/>
      <c r="GQ43" s="14"/>
      <c r="GR43" s="14"/>
      <c r="GS43" s="14"/>
      <c r="GT43" s="14"/>
      <c r="GU43" s="14"/>
      <c r="GV43" s="14"/>
      <c r="GW43" s="14"/>
      <c r="GX43" s="14"/>
      <c r="GY43" s="14"/>
      <c r="GZ43" s="14"/>
      <c r="HA43" s="14"/>
      <c r="HB43" s="14"/>
      <c r="HC43" s="14"/>
      <c r="HD43" s="14"/>
      <c r="HE43" s="14"/>
      <c r="HF43" s="14"/>
      <c r="HG43" s="14"/>
      <c r="HH43" s="14"/>
      <c r="HI43" s="14"/>
      <c r="HJ43" s="14"/>
      <c r="HK43" s="14"/>
      <c r="HL43" s="14"/>
      <c r="HM43" s="14"/>
      <c r="HN43" s="14"/>
      <c r="HO43" s="14"/>
      <c r="HP43" s="14"/>
      <c r="HQ43" s="14"/>
      <c r="HR43" s="14"/>
      <c r="HS43" s="14"/>
      <c r="HT43" s="14"/>
      <c r="HU43" s="14"/>
      <c r="HV43" s="14"/>
      <c r="HW43" s="14"/>
      <c r="HX43" s="14"/>
      <c r="HY43" s="14"/>
      <c r="HZ43" s="14"/>
      <c r="IA43" s="14"/>
      <c r="IB43" s="14"/>
      <c r="IC43" s="14"/>
      <c r="ID43" s="14"/>
      <c r="IE43" s="14"/>
      <c r="IF43" s="14"/>
      <c r="IG43" s="14"/>
      <c r="IH43" s="14"/>
      <c r="II43" s="14"/>
      <c r="IJ43" s="14"/>
      <c r="IK43" s="14"/>
      <c r="IL43" s="14"/>
      <c r="IM43" s="14"/>
      <c r="IN43" s="14"/>
      <c r="IO43" s="14"/>
      <c r="IP43" s="14"/>
      <c r="IQ43" s="14"/>
      <c r="IR43" s="14"/>
      <c r="IS43" s="14"/>
      <c r="IT43" s="14"/>
      <c r="IU43" s="14"/>
      <c r="IV43" s="14"/>
      <c r="IW43" s="14"/>
      <c r="IX43" s="14"/>
      <c r="IY43" s="14"/>
      <c r="IZ43" s="14"/>
      <c r="JA43" s="14"/>
      <c r="JB43" s="14"/>
      <c r="JC43" s="14"/>
      <c r="JD43" s="14"/>
      <c r="JE43" s="14"/>
      <c r="JF43" s="14"/>
      <c r="JG43" s="14"/>
      <c r="JH43" s="14"/>
      <c r="JI43" s="14"/>
      <c r="JJ43" s="14"/>
      <c r="JK43" s="14"/>
      <c r="JL43" s="14"/>
      <c r="JM43" s="14"/>
      <c r="JN43" s="14"/>
      <c r="JO43" s="14"/>
      <c r="JP43" s="14"/>
      <c r="JQ43" s="14"/>
      <c r="JR43" s="14"/>
      <c r="JS43" s="14"/>
      <c r="JT43" s="14"/>
      <c r="JU43" s="14"/>
      <c r="JV43" s="14"/>
      <c r="JW43" s="14"/>
      <c r="JX43" s="14"/>
      <c r="JY43" s="14"/>
      <c r="JZ43" s="14"/>
      <c r="KA43" s="14"/>
      <c r="KB43" s="14"/>
      <c r="KC43" s="14"/>
      <c r="KD43" s="14"/>
      <c r="KE43" s="14"/>
      <c r="KF43" s="14"/>
      <c r="KG43" s="14"/>
      <c r="KH43" s="14"/>
      <c r="KI43" s="14"/>
      <c r="KJ43" s="14"/>
      <c r="KK43" s="14"/>
      <c r="KL43" s="14"/>
      <c r="KM43" s="14"/>
      <c r="KN43" s="14"/>
      <c r="KO43" s="14"/>
      <c r="KP43" s="14"/>
      <c r="KQ43" s="14"/>
      <c r="KR43" s="14"/>
      <c r="KS43" s="14"/>
      <c r="KT43" s="14"/>
      <c r="KU43" s="14"/>
      <c r="KV43" s="14"/>
      <c r="KW43" s="14"/>
      <c r="KX43" s="14"/>
      <c r="KY43" s="14"/>
      <c r="KZ43" s="14"/>
      <c r="LA43" s="14"/>
      <c r="LB43" s="14"/>
      <c r="LC43" s="14"/>
      <c r="LD43" s="14"/>
      <c r="LE43" s="14"/>
      <c r="LF43" s="14"/>
      <c r="LG43" s="14"/>
      <c r="LH43" s="14"/>
      <c r="LI43" s="14"/>
      <c r="LJ43" s="14"/>
      <c r="LK43" s="14"/>
      <c r="LL43" s="14"/>
      <c r="LM43" s="14"/>
      <c r="LN43" s="14"/>
      <c r="LO43" s="14"/>
      <c r="LP43" s="14"/>
      <c r="LQ43" s="14"/>
      <c r="LR43" s="14"/>
      <c r="LS43" s="14"/>
      <c r="LT43" s="14"/>
      <c r="LU43" s="14"/>
      <c r="LV43" s="14"/>
      <c r="LW43" s="14"/>
      <c r="LX43" s="14"/>
      <c r="LY43" s="14"/>
      <c r="LZ43" s="14"/>
      <c r="MA43" s="14"/>
      <c r="MB43" s="14"/>
      <c r="MC43" s="14"/>
      <c r="MD43" s="14"/>
      <c r="ME43" s="14"/>
      <c r="MF43" s="14"/>
      <c r="MG43" s="14"/>
      <c r="MH43" s="14"/>
      <c r="MI43" s="14"/>
      <c r="MJ43" s="14"/>
      <c r="MK43" s="14"/>
      <c r="ML43" s="14"/>
      <c r="MM43" s="14"/>
      <c r="MN43" s="14"/>
      <c r="MO43" s="14"/>
      <c r="MP43" s="14"/>
      <c r="MQ43" s="14"/>
      <c r="MR43" s="14"/>
      <c r="MS43" s="14"/>
      <c r="MT43" s="14"/>
      <c r="MU43" s="14"/>
      <c r="MV43" s="14"/>
      <c r="MW43" s="14"/>
      <c r="MX43" s="14"/>
      <c r="MY43" s="14"/>
      <c r="MZ43" s="14"/>
      <c r="NA43" s="14"/>
      <c r="NB43" s="14"/>
      <c r="NC43" s="14"/>
      <c r="ND43" s="14"/>
      <c r="NE43" s="14"/>
      <c r="NF43" s="14"/>
      <c r="NG43" s="14"/>
      <c r="NH43" s="14"/>
      <c r="NI43" s="14"/>
      <c r="NJ43" s="14"/>
      <c r="NK43" s="14"/>
      <c r="NL43" s="14"/>
      <c r="NM43" s="14"/>
      <c r="NN43" s="14"/>
      <c r="NO43" s="14"/>
      <c r="NP43" s="14"/>
      <c r="NQ43" s="14"/>
      <c r="NR43" s="14"/>
      <c r="NS43" s="14"/>
      <c r="NT43" s="14"/>
      <c r="NU43" s="14"/>
      <c r="NV43" s="14"/>
      <c r="NW43" s="14"/>
      <c r="NX43" s="14"/>
      <c r="NY43" s="14"/>
      <c r="NZ43" s="14"/>
      <c r="OA43" s="14"/>
      <c r="OB43" s="14"/>
      <c r="OC43" s="14"/>
      <c r="OD43" s="14"/>
      <c r="OE43" s="14"/>
      <c r="OF43" s="14"/>
      <c r="OG43" s="14"/>
      <c r="OH43" s="14"/>
      <c r="OI43" s="14"/>
      <c r="OJ43" s="14"/>
      <c r="OK43" s="14"/>
      <c r="OL43" s="14"/>
      <c r="OM43" s="14"/>
      <c r="ON43" s="14"/>
      <c r="OO43" s="14"/>
      <c r="OP43" s="14"/>
      <c r="OQ43" s="14"/>
      <c r="OR43" s="14"/>
      <c r="OS43" s="14"/>
      <c r="OT43" s="14"/>
      <c r="OU43" s="14"/>
      <c r="OV43" s="14"/>
      <c r="OW43" s="14"/>
      <c r="OX43" s="14"/>
      <c r="OY43" s="14"/>
      <c r="OZ43" s="14"/>
      <c r="PA43" s="14"/>
      <c r="PB43" s="14"/>
      <c r="PC43" s="14"/>
      <c r="PD43" s="14"/>
      <c r="PE43" s="14"/>
      <c r="PF43" s="14"/>
      <c r="PG43" s="14"/>
      <c r="PH43" s="14"/>
      <c r="PI43" s="14"/>
      <c r="PJ43" s="14"/>
      <c r="PK43" s="14"/>
      <c r="PL43" s="14"/>
      <c r="PM43" s="14"/>
      <c r="PN43" s="14"/>
      <c r="PO43" s="14"/>
      <c r="PP43" s="14"/>
      <c r="PQ43" s="14"/>
      <c r="PR43" s="14"/>
      <c r="PS43" s="14"/>
      <c r="PT43" s="14"/>
      <c r="PU43" s="14"/>
      <c r="PV43" s="14"/>
      <c r="PW43" s="14"/>
      <c r="PX43" s="14"/>
      <c r="PY43" s="14"/>
      <c r="PZ43" s="14"/>
      <c r="QA43" s="14"/>
      <c r="QB43" s="14"/>
      <c r="QC43" s="14"/>
      <c r="QD43" s="14"/>
      <c r="QE43" s="14"/>
      <c r="QF43" s="14"/>
      <c r="QG43" s="14"/>
      <c r="QH43" s="14"/>
      <c r="QI43" s="14"/>
      <c r="QJ43" s="14"/>
      <c r="QK43" s="14"/>
      <c r="QL43" s="14"/>
      <c r="QM43" s="14"/>
      <c r="QN43" s="14"/>
      <c r="QO43" s="14"/>
      <c r="QP43" s="14"/>
      <c r="QQ43" s="14"/>
      <c r="QR43" s="14"/>
      <c r="QS43" s="14"/>
      <c r="QT43" s="14"/>
      <c r="QU43" s="14"/>
      <c r="QV43" s="14"/>
      <c r="QW43" s="14"/>
      <c r="QX43" s="14"/>
      <c r="QY43" s="14"/>
      <c r="QZ43" s="14"/>
      <c r="RA43" s="14"/>
      <c r="RB43" s="14"/>
      <c r="RC43" s="14"/>
      <c r="RD43" s="14"/>
      <c r="RE43" s="14"/>
      <c r="RF43" s="14"/>
      <c r="RG43" s="14"/>
      <c r="RH43" s="14"/>
      <c r="RI43" s="14"/>
      <c r="RJ43" s="14"/>
      <c r="RK43" s="14"/>
      <c r="RL43" s="14"/>
      <c r="RM43" s="14"/>
      <c r="RN43" s="14"/>
      <c r="RO43" s="14"/>
      <c r="RP43" s="14"/>
      <c r="RQ43" s="14"/>
      <c r="RR43" s="14"/>
      <c r="RS43" s="14"/>
      <c r="RT43" s="14"/>
      <c r="RU43" s="14"/>
      <c r="RV43" s="14"/>
      <c r="RW43" s="14"/>
      <c r="RX43" s="14"/>
      <c r="RY43" s="14"/>
      <c r="RZ43" s="14"/>
      <c r="SA43" s="14"/>
      <c r="SB43" s="14"/>
      <c r="SC43" s="14"/>
    </row>
    <row r="44" spans="1:497" ht="27" customHeight="1" x14ac:dyDescent="0.15">
      <c r="A44" s="10">
        <v>6.1</v>
      </c>
      <c r="B44" s="11" t="s">
        <v>110</v>
      </c>
      <c r="C44" s="12"/>
      <c r="D44" s="12"/>
      <c r="E44" s="95"/>
      <c r="F44" s="93"/>
      <c r="G44" s="96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  <c r="FG44" s="14"/>
      <c r="FH44" s="14"/>
      <c r="FI44" s="14"/>
      <c r="FJ44" s="14"/>
      <c r="FK44" s="14"/>
      <c r="FL44" s="14"/>
      <c r="FM44" s="14"/>
      <c r="FN44" s="14"/>
      <c r="FO44" s="14"/>
      <c r="FP44" s="14"/>
      <c r="FQ44" s="14"/>
      <c r="FR44" s="14"/>
      <c r="FS44" s="14"/>
      <c r="FT44" s="14"/>
      <c r="FU44" s="14"/>
      <c r="FV44" s="14"/>
      <c r="FW44" s="14"/>
      <c r="FX44" s="14"/>
      <c r="FY44" s="14"/>
      <c r="FZ44" s="14"/>
      <c r="GA44" s="14"/>
      <c r="GB44" s="14"/>
      <c r="GC44" s="14"/>
      <c r="GD44" s="14"/>
      <c r="GE44" s="14"/>
      <c r="GF44" s="14"/>
      <c r="GG44" s="14"/>
      <c r="GH44" s="14"/>
      <c r="GI44" s="14"/>
      <c r="GJ44" s="14"/>
      <c r="GK44" s="14"/>
      <c r="GL44" s="14"/>
      <c r="GM44" s="14"/>
      <c r="GN44" s="14"/>
      <c r="GO44" s="14"/>
      <c r="GP44" s="14"/>
      <c r="GQ44" s="14"/>
      <c r="GR44" s="14"/>
      <c r="GS44" s="14"/>
      <c r="GT44" s="14"/>
      <c r="GU44" s="14"/>
      <c r="GV44" s="14"/>
      <c r="GW44" s="14"/>
      <c r="GX44" s="14"/>
      <c r="GY44" s="14"/>
      <c r="GZ44" s="14"/>
      <c r="HA44" s="14"/>
      <c r="HB44" s="14"/>
      <c r="HC44" s="14"/>
      <c r="HD44" s="14"/>
      <c r="HE44" s="14"/>
      <c r="HF44" s="14"/>
      <c r="HG44" s="14"/>
      <c r="HH44" s="14"/>
      <c r="HI44" s="14"/>
      <c r="HJ44" s="14"/>
      <c r="HK44" s="14"/>
      <c r="HL44" s="14"/>
      <c r="HM44" s="14"/>
      <c r="HN44" s="14"/>
      <c r="HO44" s="14"/>
      <c r="HP44" s="14"/>
      <c r="HQ44" s="14"/>
      <c r="HR44" s="14"/>
      <c r="HS44" s="14"/>
      <c r="HT44" s="14"/>
      <c r="HU44" s="14"/>
      <c r="HV44" s="14"/>
      <c r="HW44" s="14"/>
      <c r="HX44" s="14"/>
      <c r="HY44" s="14"/>
      <c r="HZ44" s="14"/>
      <c r="IA44" s="14"/>
      <c r="IB44" s="14"/>
      <c r="IC44" s="14"/>
      <c r="ID44" s="14"/>
      <c r="IE44" s="14"/>
      <c r="IF44" s="14"/>
      <c r="IG44" s="14"/>
      <c r="IH44" s="14"/>
      <c r="II44" s="14"/>
      <c r="IJ44" s="14"/>
      <c r="IK44" s="14"/>
      <c r="IL44" s="14"/>
      <c r="IM44" s="14"/>
      <c r="IN44" s="14"/>
      <c r="IO44" s="14"/>
      <c r="IP44" s="14"/>
      <c r="IQ44" s="14"/>
      <c r="IR44" s="14"/>
      <c r="IS44" s="14"/>
      <c r="IT44" s="14"/>
      <c r="IU44" s="14"/>
      <c r="IV44" s="14"/>
      <c r="IW44" s="14"/>
      <c r="IX44" s="14"/>
      <c r="IY44" s="14"/>
      <c r="IZ44" s="14"/>
      <c r="JA44" s="14"/>
      <c r="JB44" s="14"/>
      <c r="JC44" s="14"/>
      <c r="JD44" s="14"/>
      <c r="JE44" s="14"/>
      <c r="JF44" s="14"/>
      <c r="JG44" s="14"/>
      <c r="JH44" s="14"/>
      <c r="JI44" s="14"/>
      <c r="JJ44" s="14"/>
      <c r="JK44" s="14"/>
      <c r="JL44" s="14"/>
      <c r="JM44" s="14"/>
      <c r="JN44" s="14"/>
      <c r="JO44" s="14"/>
      <c r="JP44" s="14"/>
      <c r="JQ44" s="14"/>
      <c r="JR44" s="14"/>
      <c r="JS44" s="14"/>
      <c r="JT44" s="14"/>
      <c r="JU44" s="14"/>
      <c r="JV44" s="14"/>
      <c r="JW44" s="14"/>
      <c r="JX44" s="14"/>
      <c r="JY44" s="14"/>
      <c r="JZ44" s="14"/>
      <c r="KA44" s="14"/>
      <c r="KB44" s="14"/>
      <c r="KC44" s="14"/>
      <c r="KD44" s="14"/>
      <c r="KE44" s="14"/>
      <c r="KF44" s="14"/>
      <c r="KG44" s="14"/>
      <c r="KH44" s="14"/>
      <c r="KI44" s="14"/>
      <c r="KJ44" s="14"/>
      <c r="KK44" s="14"/>
      <c r="KL44" s="14"/>
      <c r="KM44" s="14"/>
      <c r="KN44" s="14"/>
      <c r="KO44" s="14"/>
      <c r="KP44" s="14"/>
      <c r="KQ44" s="14"/>
      <c r="KR44" s="14"/>
      <c r="KS44" s="14"/>
      <c r="KT44" s="14"/>
      <c r="KU44" s="14"/>
      <c r="KV44" s="14"/>
      <c r="KW44" s="14"/>
      <c r="KX44" s="14"/>
      <c r="KY44" s="14"/>
      <c r="KZ44" s="14"/>
      <c r="LA44" s="14"/>
      <c r="LB44" s="14"/>
      <c r="LC44" s="14"/>
      <c r="LD44" s="14"/>
      <c r="LE44" s="14"/>
      <c r="LF44" s="14"/>
      <c r="LG44" s="14"/>
      <c r="LH44" s="14"/>
      <c r="LI44" s="14"/>
      <c r="LJ44" s="14"/>
      <c r="LK44" s="14"/>
      <c r="LL44" s="14"/>
      <c r="LM44" s="14"/>
      <c r="LN44" s="14"/>
      <c r="LO44" s="14"/>
      <c r="LP44" s="14"/>
      <c r="LQ44" s="14"/>
      <c r="LR44" s="14"/>
      <c r="LS44" s="14"/>
      <c r="LT44" s="14"/>
      <c r="LU44" s="14"/>
      <c r="LV44" s="14"/>
      <c r="LW44" s="14"/>
      <c r="LX44" s="14"/>
      <c r="LY44" s="14"/>
      <c r="LZ44" s="14"/>
      <c r="MA44" s="14"/>
      <c r="MB44" s="14"/>
      <c r="MC44" s="14"/>
      <c r="MD44" s="14"/>
      <c r="ME44" s="14"/>
      <c r="MF44" s="14"/>
      <c r="MG44" s="14"/>
      <c r="MH44" s="14"/>
      <c r="MI44" s="14"/>
      <c r="MJ44" s="14"/>
      <c r="MK44" s="14"/>
      <c r="ML44" s="14"/>
      <c r="MM44" s="14"/>
      <c r="MN44" s="14"/>
      <c r="MO44" s="14"/>
      <c r="MP44" s="14"/>
      <c r="MQ44" s="14"/>
      <c r="MR44" s="14"/>
      <c r="MS44" s="14"/>
      <c r="MT44" s="14"/>
      <c r="MU44" s="14"/>
      <c r="MV44" s="14"/>
      <c r="MW44" s="14"/>
      <c r="MX44" s="14"/>
      <c r="MY44" s="14"/>
      <c r="MZ44" s="14"/>
      <c r="NA44" s="14"/>
      <c r="NB44" s="14"/>
      <c r="NC44" s="14"/>
      <c r="ND44" s="14"/>
      <c r="NE44" s="14"/>
      <c r="NF44" s="14"/>
      <c r="NG44" s="14"/>
      <c r="NH44" s="14"/>
      <c r="NI44" s="14"/>
      <c r="NJ44" s="14"/>
      <c r="NK44" s="14"/>
      <c r="NL44" s="14"/>
      <c r="NM44" s="14"/>
      <c r="NN44" s="14"/>
      <c r="NO44" s="14"/>
      <c r="NP44" s="14"/>
      <c r="NQ44" s="14"/>
      <c r="NR44" s="14"/>
      <c r="NS44" s="14"/>
      <c r="NT44" s="14"/>
      <c r="NU44" s="14"/>
      <c r="NV44" s="14"/>
      <c r="NW44" s="14"/>
      <c r="NX44" s="14"/>
      <c r="NY44" s="14"/>
      <c r="NZ44" s="14"/>
      <c r="OA44" s="14"/>
      <c r="OB44" s="14"/>
      <c r="OC44" s="14"/>
      <c r="OD44" s="14"/>
      <c r="OE44" s="14"/>
      <c r="OF44" s="14"/>
      <c r="OG44" s="14"/>
      <c r="OH44" s="14"/>
      <c r="OI44" s="14"/>
      <c r="OJ44" s="14"/>
      <c r="OK44" s="14"/>
      <c r="OL44" s="14"/>
      <c r="OM44" s="14"/>
      <c r="ON44" s="14"/>
      <c r="OO44" s="14"/>
      <c r="OP44" s="14"/>
      <c r="OQ44" s="14"/>
      <c r="OR44" s="14"/>
      <c r="OS44" s="14"/>
      <c r="OT44" s="14"/>
      <c r="OU44" s="14"/>
      <c r="OV44" s="14"/>
      <c r="OW44" s="14"/>
      <c r="OX44" s="14"/>
      <c r="OY44" s="14"/>
      <c r="OZ44" s="14"/>
      <c r="PA44" s="14"/>
      <c r="PB44" s="14"/>
      <c r="PC44" s="14"/>
      <c r="PD44" s="14"/>
      <c r="PE44" s="14"/>
      <c r="PF44" s="14"/>
      <c r="PG44" s="14"/>
      <c r="PH44" s="14"/>
      <c r="PI44" s="14"/>
      <c r="PJ44" s="14"/>
      <c r="PK44" s="14"/>
      <c r="PL44" s="14"/>
      <c r="PM44" s="14"/>
      <c r="PN44" s="14"/>
      <c r="PO44" s="14"/>
      <c r="PP44" s="14"/>
      <c r="PQ44" s="14"/>
      <c r="PR44" s="14"/>
      <c r="PS44" s="14"/>
      <c r="PT44" s="14"/>
      <c r="PU44" s="14"/>
      <c r="PV44" s="14"/>
      <c r="PW44" s="14"/>
      <c r="PX44" s="14"/>
      <c r="PY44" s="14"/>
      <c r="PZ44" s="14"/>
      <c r="QA44" s="14"/>
      <c r="QB44" s="14"/>
      <c r="QC44" s="14"/>
      <c r="QD44" s="14"/>
      <c r="QE44" s="14"/>
      <c r="QF44" s="14"/>
      <c r="QG44" s="14"/>
      <c r="QH44" s="14"/>
      <c r="QI44" s="14"/>
      <c r="QJ44" s="14"/>
      <c r="QK44" s="14"/>
      <c r="QL44" s="14"/>
      <c r="QM44" s="14"/>
      <c r="QN44" s="14"/>
      <c r="QO44" s="14"/>
      <c r="QP44" s="14"/>
      <c r="QQ44" s="14"/>
      <c r="QR44" s="14"/>
      <c r="QS44" s="14"/>
      <c r="QT44" s="14"/>
      <c r="QU44" s="14"/>
      <c r="QV44" s="14"/>
      <c r="QW44" s="14"/>
      <c r="QX44" s="14"/>
      <c r="QY44" s="14"/>
      <c r="QZ44" s="14"/>
      <c r="RA44" s="14"/>
      <c r="RB44" s="14"/>
      <c r="RC44" s="14"/>
      <c r="RD44" s="14"/>
      <c r="RE44" s="14"/>
      <c r="RF44" s="14"/>
      <c r="RG44" s="14"/>
      <c r="RH44" s="14"/>
      <c r="RI44" s="14"/>
      <c r="RJ44" s="14"/>
      <c r="RK44" s="14"/>
      <c r="RL44" s="14"/>
      <c r="RM44" s="14"/>
      <c r="RN44" s="14"/>
      <c r="RO44" s="14"/>
      <c r="RP44" s="14"/>
      <c r="RQ44" s="14"/>
      <c r="RR44" s="14"/>
      <c r="RS44" s="14"/>
      <c r="RT44" s="14"/>
      <c r="RU44" s="14"/>
      <c r="RV44" s="14"/>
      <c r="RW44" s="14"/>
      <c r="RX44" s="14"/>
      <c r="RY44" s="14"/>
      <c r="RZ44" s="14"/>
      <c r="SA44" s="14"/>
      <c r="SB44" s="14"/>
      <c r="SC44" s="14"/>
    </row>
    <row r="45" spans="1:497" ht="27" customHeight="1" x14ac:dyDescent="0.15">
      <c r="A45" s="10">
        <v>6.2</v>
      </c>
      <c r="B45" s="11" t="s">
        <v>106</v>
      </c>
      <c r="C45" s="12"/>
      <c r="D45" s="12"/>
      <c r="E45" s="95"/>
      <c r="F45" s="93"/>
      <c r="G45" s="96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4"/>
      <c r="FJ45" s="14"/>
      <c r="FK45" s="14"/>
      <c r="FL45" s="14"/>
      <c r="FM45" s="14"/>
      <c r="FN45" s="14"/>
      <c r="FO45" s="14"/>
      <c r="FP45" s="14"/>
      <c r="FQ45" s="14"/>
      <c r="FR45" s="14"/>
      <c r="FS45" s="14"/>
      <c r="FT45" s="14"/>
      <c r="FU45" s="14"/>
      <c r="FV45" s="14"/>
      <c r="FW45" s="14"/>
      <c r="FX45" s="14"/>
      <c r="FY45" s="14"/>
      <c r="FZ45" s="14"/>
      <c r="GA45" s="14"/>
      <c r="GB45" s="14"/>
      <c r="GC45" s="14"/>
      <c r="GD45" s="14"/>
      <c r="GE45" s="14"/>
      <c r="GF45" s="14"/>
      <c r="GG45" s="14"/>
      <c r="GH45" s="14"/>
      <c r="GI45" s="14"/>
      <c r="GJ45" s="14"/>
      <c r="GK45" s="14"/>
      <c r="GL45" s="14"/>
      <c r="GM45" s="14"/>
      <c r="GN45" s="14"/>
      <c r="GO45" s="14"/>
      <c r="GP45" s="14"/>
      <c r="GQ45" s="14"/>
      <c r="GR45" s="14"/>
      <c r="GS45" s="14"/>
      <c r="GT45" s="14"/>
      <c r="GU45" s="14"/>
      <c r="GV45" s="14"/>
      <c r="GW45" s="14"/>
      <c r="GX45" s="14"/>
      <c r="GY45" s="14"/>
      <c r="GZ45" s="14"/>
      <c r="HA45" s="14"/>
      <c r="HB45" s="14"/>
      <c r="HC45" s="14"/>
      <c r="HD45" s="14"/>
      <c r="HE45" s="14"/>
      <c r="HF45" s="14"/>
      <c r="HG45" s="14"/>
      <c r="HH45" s="14"/>
      <c r="HI45" s="14"/>
      <c r="HJ45" s="14"/>
      <c r="HK45" s="14"/>
      <c r="HL45" s="14"/>
      <c r="HM45" s="14"/>
      <c r="HN45" s="14"/>
      <c r="HO45" s="14"/>
      <c r="HP45" s="14"/>
      <c r="HQ45" s="14"/>
      <c r="HR45" s="14"/>
      <c r="HS45" s="14"/>
      <c r="HT45" s="14"/>
      <c r="HU45" s="14"/>
      <c r="HV45" s="14"/>
      <c r="HW45" s="14"/>
      <c r="HX45" s="14"/>
      <c r="HY45" s="14"/>
      <c r="HZ45" s="14"/>
      <c r="IA45" s="14"/>
      <c r="IB45" s="14"/>
      <c r="IC45" s="14"/>
      <c r="ID45" s="14"/>
      <c r="IE45" s="14"/>
      <c r="IF45" s="14"/>
      <c r="IG45" s="14"/>
      <c r="IH45" s="14"/>
      <c r="II45" s="14"/>
      <c r="IJ45" s="14"/>
      <c r="IK45" s="14"/>
      <c r="IL45" s="14"/>
      <c r="IM45" s="14"/>
      <c r="IN45" s="14"/>
      <c r="IO45" s="14"/>
      <c r="IP45" s="14"/>
      <c r="IQ45" s="14"/>
      <c r="IR45" s="14"/>
      <c r="IS45" s="14"/>
      <c r="IT45" s="14"/>
      <c r="IU45" s="14"/>
      <c r="IV45" s="14"/>
      <c r="IW45" s="14"/>
      <c r="IX45" s="14"/>
      <c r="IY45" s="14"/>
      <c r="IZ45" s="14"/>
      <c r="JA45" s="14"/>
      <c r="JB45" s="14"/>
      <c r="JC45" s="14"/>
      <c r="JD45" s="14"/>
      <c r="JE45" s="14"/>
      <c r="JF45" s="14"/>
      <c r="JG45" s="14"/>
      <c r="JH45" s="14"/>
      <c r="JI45" s="14"/>
      <c r="JJ45" s="14"/>
      <c r="JK45" s="14"/>
      <c r="JL45" s="14"/>
      <c r="JM45" s="14"/>
      <c r="JN45" s="14"/>
      <c r="JO45" s="14"/>
      <c r="JP45" s="14"/>
      <c r="JQ45" s="14"/>
      <c r="JR45" s="14"/>
      <c r="JS45" s="14"/>
      <c r="JT45" s="14"/>
      <c r="JU45" s="14"/>
      <c r="JV45" s="14"/>
      <c r="JW45" s="14"/>
      <c r="JX45" s="14"/>
      <c r="JY45" s="14"/>
      <c r="JZ45" s="14"/>
      <c r="KA45" s="14"/>
      <c r="KB45" s="14"/>
      <c r="KC45" s="14"/>
      <c r="KD45" s="14"/>
      <c r="KE45" s="14"/>
      <c r="KF45" s="14"/>
      <c r="KG45" s="14"/>
      <c r="KH45" s="14"/>
      <c r="KI45" s="14"/>
      <c r="KJ45" s="14"/>
      <c r="KK45" s="14"/>
      <c r="KL45" s="14"/>
      <c r="KM45" s="14"/>
      <c r="KN45" s="14"/>
      <c r="KO45" s="14"/>
      <c r="KP45" s="14"/>
      <c r="KQ45" s="14"/>
      <c r="KR45" s="14"/>
      <c r="KS45" s="14"/>
      <c r="KT45" s="14"/>
      <c r="KU45" s="14"/>
      <c r="KV45" s="14"/>
      <c r="KW45" s="14"/>
      <c r="KX45" s="14"/>
      <c r="KY45" s="14"/>
      <c r="KZ45" s="14"/>
      <c r="LA45" s="14"/>
      <c r="LB45" s="14"/>
      <c r="LC45" s="14"/>
      <c r="LD45" s="14"/>
      <c r="LE45" s="14"/>
      <c r="LF45" s="14"/>
      <c r="LG45" s="14"/>
      <c r="LH45" s="14"/>
      <c r="LI45" s="14"/>
      <c r="LJ45" s="14"/>
      <c r="LK45" s="14"/>
      <c r="LL45" s="14"/>
      <c r="LM45" s="14"/>
      <c r="LN45" s="14"/>
      <c r="LO45" s="14"/>
      <c r="LP45" s="14"/>
      <c r="LQ45" s="14"/>
      <c r="LR45" s="14"/>
      <c r="LS45" s="14"/>
      <c r="LT45" s="14"/>
      <c r="LU45" s="14"/>
      <c r="LV45" s="14"/>
      <c r="LW45" s="14"/>
      <c r="LX45" s="14"/>
      <c r="LY45" s="14"/>
      <c r="LZ45" s="14"/>
      <c r="MA45" s="14"/>
      <c r="MB45" s="14"/>
      <c r="MC45" s="14"/>
      <c r="MD45" s="14"/>
      <c r="ME45" s="14"/>
      <c r="MF45" s="14"/>
      <c r="MG45" s="14"/>
      <c r="MH45" s="14"/>
      <c r="MI45" s="14"/>
      <c r="MJ45" s="14"/>
      <c r="MK45" s="14"/>
      <c r="ML45" s="14"/>
      <c r="MM45" s="14"/>
      <c r="MN45" s="14"/>
      <c r="MO45" s="14"/>
      <c r="MP45" s="14"/>
      <c r="MQ45" s="14"/>
      <c r="MR45" s="14"/>
      <c r="MS45" s="14"/>
      <c r="MT45" s="14"/>
      <c r="MU45" s="14"/>
      <c r="MV45" s="14"/>
      <c r="MW45" s="14"/>
      <c r="MX45" s="14"/>
      <c r="MY45" s="14"/>
      <c r="MZ45" s="14"/>
      <c r="NA45" s="14"/>
      <c r="NB45" s="14"/>
      <c r="NC45" s="14"/>
      <c r="ND45" s="14"/>
      <c r="NE45" s="14"/>
      <c r="NF45" s="14"/>
      <c r="NG45" s="14"/>
      <c r="NH45" s="14"/>
      <c r="NI45" s="14"/>
      <c r="NJ45" s="14"/>
      <c r="NK45" s="14"/>
      <c r="NL45" s="14"/>
      <c r="NM45" s="14"/>
      <c r="NN45" s="14"/>
      <c r="NO45" s="14"/>
      <c r="NP45" s="14"/>
      <c r="NQ45" s="14"/>
      <c r="NR45" s="14"/>
      <c r="NS45" s="14"/>
      <c r="NT45" s="14"/>
      <c r="NU45" s="14"/>
      <c r="NV45" s="14"/>
      <c r="NW45" s="14"/>
      <c r="NX45" s="14"/>
      <c r="NY45" s="14"/>
      <c r="NZ45" s="14"/>
      <c r="OA45" s="14"/>
      <c r="OB45" s="14"/>
      <c r="OC45" s="14"/>
      <c r="OD45" s="14"/>
      <c r="OE45" s="14"/>
      <c r="OF45" s="14"/>
      <c r="OG45" s="14"/>
      <c r="OH45" s="14"/>
      <c r="OI45" s="14"/>
      <c r="OJ45" s="14"/>
      <c r="OK45" s="14"/>
      <c r="OL45" s="14"/>
      <c r="OM45" s="14"/>
      <c r="ON45" s="14"/>
      <c r="OO45" s="14"/>
      <c r="OP45" s="14"/>
      <c r="OQ45" s="14"/>
      <c r="OR45" s="14"/>
      <c r="OS45" s="14"/>
      <c r="OT45" s="14"/>
      <c r="OU45" s="14"/>
      <c r="OV45" s="14"/>
      <c r="OW45" s="14"/>
      <c r="OX45" s="14"/>
      <c r="OY45" s="14"/>
      <c r="OZ45" s="14"/>
      <c r="PA45" s="14"/>
      <c r="PB45" s="14"/>
      <c r="PC45" s="14"/>
      <c r="PD45" s="14"/>
      <c r="PE45" s="14"/>
      <c r="PF45" s="14"/>
      <c r="PG45" s="14"/>
      <c r="PH45" s="14"/>
      <c r="PI45" s="14"/>
      <c r="PJ45" s="14"/>
      <c r="PK45" s="14"/>
      <c r="PL45" s="14"/>
      <c r="PM45" s="14"/>
      <c r="PN45" s="14"/>
      <c r="PO45" s="14"/>
      <c r="PP45" s="14"/>
      <c r="PQ45" s="14"/>
      <c r="PR45" s="14"/>
      <c r="PS45" s="14"/>
      <c r="PT45" s="14"/>
      <c r="PU45" s="14"/>
      <c r="PV45" s="14"/>
      <c r="PW45" s="14"/>
      <c r="PX45" s="14"/>
      <c r="PY45" s="14"/>
      <c r="PZ45" s="14"/>
      <c r="QA45" s="14"/>
      <c r="QB45" s="14"/>
      <c r="QC45" s="14"/>
      <c r="QD45" s="14"/>
      <c r="QE45" s="14"/>
      <c r="QF45" s="14"/>
      <c r="QG45" s="14"/>
      <c r="QH45" s="14"/>
      <c r="QI45" s="14"/>
      <c r="QJ45" s="14"/>
      <c r="QK45" s="14"/>
      <c r="QL45" s="14"/>
      <c r="QM45" s="14"/>
      <c r="QN45" s="14"/>
      <c r="QO45" s="14"/>
      <c r="QP45" s="14"/>
      <c r="QQ45" s="14"/>
      <c r="QR45" s="14"/>
      <c r="QS45" s="14"/>
      <c r="QT45" s="14"/>
      <c r="QU45" s="14"/>
      <c r="QV45" s="14"/>
      <c r="QW45" s="14"/>
      <c r="QX45" s="14"/>
      <c r="QY45" s="14"/>
      <c r="QZ45" s="14"/>
      <c r="RA45" s="14"/>
      <c r="RB45" s="14"/>
      <c r="RC45" s="14"/>
      <c r="RD45" s="14"/>
      <c r="RE45" s="14"/>
      <c r="RF45" s="14"/>
      <c r="RG45" s="14"/>
      <c r="RH45" s="14"/>
      <c r="RI45" s="14"/>
      <c r="RJ45" s="14"/>
      <c r="RK45" s="14"/>
      <c r="RL45" s="14"/>
      <c r="RM45" s="14"/>
      <c r="RN45" s="14"/>
      <c r="RO45" s="14"/>
      <c r="RP45" s="14"/>
      <c r="RQ45" s="14"/>
      <c r="RR45" s="14"/>
      <c r="RS45" s="14"/>
      <c r="RT45" s="14"/>
      <c r="RU45" s="14"/>
      <c r="RV45" s="14"/>
      <c r="RW45" s="14"/>
      <c r="RX45" s="14"/>
      <c r="RY45" s="14"/>
      <c r="RZ45" s="14"/>
      <c r="SA45" s="14"/>
      <c r="SB45" s="14"/>
      <c r="SC45" s="14"/>
    </row>
    <row r="46" spans="1:497" ht="27" customHeight="1" x14ac:dyDescent="0.15">
      <c r="A46" s="10">
        <v>6.3</v>
      </c>
      <c r="B46" s="11" t="s">
        <v>116</v>
      </c>
      <c r="C46" s="12"/>
      <c r="D46" s="12"/>
      <c r="E46" s="95"/>
      <c r="F46" s="93"/>
      <c r="G46" s="96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4"/>
      <c r="GW46" s="14"/>
      <c r="GX46" s="14"/>
      <c r="GY46" s="14"/>
      <c r="GZ46" s="14"/>
      <c r="HA46" s="14"/>
      <c r="HB46" s="14"/>
      <c r="HC46" s="14"/>
      <c r="HD46" s="14"/>
      <c r="HE46" s="14"/>
      <c r="HF46" s="14"/>
      <c r="HG46" s="14"/>
      <c r="HH46" s="14"/>
      <c r="HI46" s="14"/>
      <c r="HJ46" s="14"/>
      <c r="HK46" s="14"/>
      <c r="HL46" s="14"/>
      <c r="HM46" s="14"/>
      <c r="HN46" s="14"/>
      <c r="HO46" s="14"/>
      <c r="HP46" s="14"/>
      <c r="HQ46" s="14"/>
      <c r="HR46" s="14"/>
      <c r="HS46" s="14"/>
      <c r="HT46" s="14"/>
      <c r="HU46" s="14"/>
      <c r="HV46" s="14"/>
      <c r="HW46" s="14"/>
      <c r="HX46" s="14"/>
      <c r="HY46" s="14"/>
      <c r="HZ46" s="14"/>
      <c r="IA46" s="14"/>
      <c r="IB46" s="14"/>
      <c r="IC46" s="14"/>
      <c r="ID46" s="14"/>
      <c r="IE46" s="14"/>
      <c r="IF46" s="14"/>
      <c r="IG46" s="14"/>
      <c r="IH46" s="14"/>
      <c r="II46" s="14"/>
      <c r="IJ46" s="14"/>
      <c r="IK46" s="14"/>
      <c r="IL46" s="14"/>
      <c r="IM46" s="14"/>
      <c r="IN46" s="14"/>
      <c r="IO46" s="14"/>
      <c r="IP46" s="14"/>
      <c r="IQ46" s="14"/>
      <c r="IR46" s="14"/>
      <c r="IS46" s="14"/>
      <c r="IT46" s="14"/>
      <c r="IU46" s="14"/>
      <c r="IV46" s="14"/>
      <c r="IW46" s="14"/>
      <c r="IX46" s="14"/>
      <c r="IY46" s="14"/>
      <c r="IZ46" s="14"/>
      <c r="JA46" s="14"/>
      <c r="JB46" s="14"/>
      <c r="JC46" s="14"/>
      <c r="JD46" s="14"/>
      <c r="JE46" s="14"/>
      <c r="JF46" s="14"/>
      <c r="JG46" s="14"/>
      <c r="JH46" s="14"/>
      <c r="JI46" s="14"/>
      <c r="JJ46" s="14"/>
      <c r="JK46" s="14"/>
      <c r="JL46" s="14"/>
      <c r="JM46" s="14"/>
      <c r="JN46" s="14"/>
      <c r="JO46" s="14"/>
      <c r="JP46" s="14"/>
      <c r="JQ46" s="14"/>
      <c r="JR46" s="14"/>
      <c r="JS46" s="14"/>
      <c r="JT46" s="14"/>
      <c r="JU46" s="14"/>
      <c r="JV46" s="14"/>
      <c r="JW46" s="14"/>
      <c r="JX46" s="14"/>
      <c r="JY46" s="14"/>
      <c r="JZ46" s="14"/>
      <c r="KA46" s="14"/>
      <c r="KB46" s="14"/>
      <c r="KC46" s="14"/>
      <c r="KD46" s="14"/>
      <c r="KE46" s="14"/>
      <c r="KF46" s="14"/>
      <c r="KG46" s="14"/>
      <c r="KH46" s="14"/>
      <c r="KI46" s="14"/>
      <c r="KJ46" s="14"/>
      <c r="KK46" s="14"/>
      <c r="KL46" s="14"/>
      <c r="KM46" s="14"/>
      <c r="KN46" s="14"/>
      <c r="KO46" s="14"/>
      <c r="KP46" s="14"/>
      <c r="KQ46" s="14"/>
      <c r="KR46" s="14"/>
      <c r="KS46" s="14"/>
      <c r="KT46" s="14"/>
      <c r="KU46" s="14"/>
      <c r="KV46" s="14"/>
      <c r="KW46" s="14"/>
      <c r="KX46" s="14"/>
      <c r="KY46" s="14"/>
      <c r="KZ46" s="14"/>
      <c r="LA46" s="14"/>
      <c r="LB46" s="14"/>
      <c r="LC46" s="14"/>
      <c r="LD46" s="14"/>
      <c r="LE46" s="14"/>
      <c r="LF46" s="14"/>
      <c r="LG46" s="14"/>
      <c r="LH46" s="14"/>
      <c r="LI46" s="14"/>
      <c r="LJ46" s="14"/>
      <c r="LK46" s="14"/>
      <c r="LL46" s="14"/>
      <c r="LM46" s="14"/>
      <c r="LN46" s="14"/>
      <c r="LO46" s="14"/>
      <c r="LP46" s="14"/>
      <c r="LQ46" s="14"/>
      <c r="LR46" s="14"/>
      <c r="LS46" s="14"/>
      <c r="LT46" s="14"/>
      <c r="LU46" s="14"/>
      <c r="LV46" s="14"/>
      <c r="LW46" s="14"/>
      <c r="LX46" s="14"/>
      <c r="LY46" s="14"/>
      <c r="LZ46" s="14"/>
      <c r="MA46" s="14"/>
      <c r="MB46" s="14"/>
      <c r="MC46" s="14"/>
      <c r="MD46" s="14"/>
      <c r="ME46" s="14"/>
      <c r="MF46" s="14"/>
      <c r="MG46" s="14"/>
      <c r="MH46" s="14"/>
      <c r="MI46" s="14"/>
      <c r="MJ46" s="14"/>
      <c r="MK46" s="14"/>
      <c r="ML46" s="14"/>
      <c r="MM46" s="14"/>
      <c r="MN46" s="14"/>
      <c r="MO46" s="14"/>
      <c r="MP46" s="14"/>
      <c r="MQ46" s="14"/>
      <c r="MR46" s="14"/>
      <c r="MS46" s="14"/>
      <c r="MT46" s="14"/>
      <c r="MU46" s="14"/>
      <c r="MV46" s="14"/>
      <c r="MW46" s="14"/>
      <c r="MX46" s="14"/>
      <c r="MY46" s="14"/>
      <c r="MZ46" s="14"/>
      <c r="NA46" s="14"/>
      <c r="NB46" s="14"/>
      <c r="NC46" s="14"/>
      <c r="ND46" s="14"/>
      <c r="NE46" s="14"/>
      <c r="NF46" s="14"/>
      <c r="NG46" s="14"/>
      <c r="NH46" s="14"/>
      <c r="NI46" s="14"/>
      <c r="NJ46" s="14"/>
      <c r="NK46" s="14"/>
      <c r="NL46" s="14"/>
      <c r="NM46" s="14"/>
      <c r="NN46" s="14"/>
      <c r="NO46" s="14"/>
      <c r="NP46" s="14"/>
      <c r="NQ46" s="14"/>
      <c r="NR46" s="14"/>
      <c r="NS46" s="14"/>
      <c r="NT46" s="14"/>
      <c r="NU46" s="14"/>
      <c r="NV46" s="14"/>
      <c r="NW46" s="14"/>
      <c r="NX46" s="14"/>
      <c r="NY46" s="14"/>
      <c r="NZ46" s="14"/>
      <c r="OA46" s="14"/>
      <c r="OB46" s="14"/>
      <c r="OC46" s="14"/>
      <c r="OD46" s="14"/>
      <c r="OE46" s="14"/>
      <c r="OF46" s="14"/>
      <c r="OG46" s="14"/>
      <c r="OH46" s="14"/>
      <c r="OI46" s="14"/>
      <c r="OJ46" s="14"/>
      <c r="OK46" s="14"/>
      <c r="OL46" s="14"/>
      <c r="OM46" s="14"/>
      <c r="ON46" s="14"/>
      <c r="OO46" s="14"/>
      <c r="OP46" s="14"/>
      <c r="OQ46" s="14"/>
      <c r="OR46" s="14"/>
      <c r="OS46" s="14"/>
      <c r="OT46" s="14"/>
      <c r="OU46" s="14"/>
      <c r="OV46" s="14"/>
      <c r="OW46" s="14"/>
      <c r="OX46" s="14"/>
      <c r="OY46" s="14"/>
      <c r="OZ46" s="14"/>
      <c r="PA46" s="14"/>
      <c r="PB46" s="14"/>
      <c r="PC46" s="14"/>
      <c r="PD46" s="14"/>
      <c r="PE46" s="14"/>
      <c r="PF46" s="14"/>
      <c r="PG46" s="14"/>
      <c r="PH46" s="14"/>
      <c r="PI46" s="14"/>
      <c r="PJ46" s="14"/>
      <c r="PK46" s="14"/>
      <c r="PL46" s="14"/>
      <c r="PM46" s="14"/>
      <c r="PN46" s="14"/>
      <c r="PO46" s="14"/>
      <c r="PP46" s="14"/>
      <c r="PQ46" s="14"/>
      <c r="PR46" s="14"/>
      <c r="PS46" s="14"/>
      <c r="PT46" s="14"/>
      <c r="PU46" s="14"/>
      <c r="PV46" s="14"/>
      <c r="PW46" s="14"/>
      <c r="PX46" s="14"/>
      <c r="PY46" s="14"/>
      <c r="PZ46" s="14"/>
      <c r="QA46" s="14"/>
      <c r="QB46" s="14"/>
      <c r="QC46" s="14"/>
      <c r="QD46" s="14"/>
      <c r="QE46" s="14"/>
      <c r="QF46" s="14"/>
      <c r="QG46" s="14"/>
      <c r="QH46" s="14"/>
      <c r="QI46" s="14"/>
      <c r="QJ46" s="14"/>
      <c r="QK46" s="14"/>
      <c r="QL46" s="14"/>
      <c r="QM46" s="14"/>
      <c r="QN46" s="14"/>
      <c r="QO46" s="14"/>
      <c r="QP46" s="14"/>
      <c r="QQ46" s="14"/>
      <c r="QR46" s="14"/>
      <c r="QS46" s="14"/>
      <c r="QT46" s="14"/>
      <c r="QU46" s="14"/>
      <c r="QV46" s="14"/>
      <c r="QW46" s="14"/>
      <c r="QX46" s="14"/>
      <c r="QY46" s="14"/>
      <c r="QZ46" s="14"/>
      <c r="RA46" s="14"/>
      <c r="RB46" s="14"/>
      <c r="RC46" s="14"/>
      <c r="RD46" s="14"/>
      <c r="RE46" s="14"/>
      <c r="RF46" s="14"/>
      <c r="RG46" s="14"/>
      <c r="RH46" s="14"/>
      <c r="RI46" s="14"/>
      <c r="RJ46" s="14"/>
      <c r="RK46" s="14"/>
      <c r="RL46" s="14"/>
      <c r="RM46" s="14"/>
      <c r="RN46" s="14"/>
      <c r="RO46" s="14"/>
      <c r="RP46" s="14"/>
      <c r="RQ46" s="14"/>
      <c r="RR46" s="14"/>
      <c r="RS46" s="14"/>
      <c r="RT46" s="14"/>
      <c r="RU46" s="14"/>
      <c r="RV46" s="14"/>
      <c r="RW46" s="14"/>
      <c r="RX46" s="14"/>
      <c r="RY46" s="14"/>
      <c r="RZ46" s="14"/>
      <c r="SA46" s="14"/>
      <c r="SB46" s="14"/>
      <c r="SC46" s="14"/>
    </row>
    <row r="47" spans="1:497" ht="27" customHeight="1" x14ac:dyDescent="0.15">
      <c r="A47" s="10">
        <v>6.4</v>
      </c>
      <c r="B47" s="11" t="s">
        <v>107</v>
      </c>
      <c r="C47" s="12"/>
      <c r="D47" s="12"/>
      <c r="E47" s="95"/>
      <c r="F47" s="93"/>
      <c r="G47" s="96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  <c r="GA47" s="14"/>
      <c r="GB47" s="14"/>
      <c r="GC47" s="14"/>
      <c r="GD47" s="14"/>
      <c r="GE47" s="14"/>
      <c r="GF47" s="14"/>
      <c r="GG47" s="14"/>
      <c r="GH47" s="14"/>
      <c r="GI47" s="14"/>
      <c r="GJ47" s="14"/>
      <c r="GK47" s="14"/>
      <c r="GL47" s="14"/>
      <c r="GM47" s="14"/>
      <c r="GN47" s="14"/>
      <c r="GO47" s="14"/>
      <c r="GP47" s="14"/>
      <c r="GQ47" s="14"/>
      <c r="GR47" s="14"/>
      <c r="GS47" s="14"/>
      <c r="GT47" s="14"/>
      <c r="GU47" s="14"/>
      <c r="GV47" s="14"/>
      <c r="GW47" s="14"/>
      <c r="GX47" s="14"/>
      <c r="GY47" s="14"/>
      <c r="GZ47" s="14"/>
      <c r="HA47" s="14"/>
      <c r="HB47" s="14"/>
      <c r="HC47" s="14"/>
      <c r="HD47" s="14"/>
      <c r="HE47" s="14"/>
      <c r="HF47" s="14"/>
      <c r="HG47" s="14"/>
      <c r="HH47" s="14"/>
      <c r="HI47" s="14"/>
      <c r="HJ47" s="14"/>
      <c r="HK47" s="14"/>
      <c r="HL47" s="14"/>
      <c r="HM47" s="14"/>
      <c r="HN47" s="14"/>
      <c r="HO47" s="14"/>
      <c r="HP47" s="14"/>
      <c r="HQ47" s="14"/>
      <c r="HR47" s="14"/>
      <c r="HS47" s="14"/>
      <c r="HT47" s="14"/>
      <c r="HU47" s="14"/>
      <c r="HV47" s="14"/>
      <c r="HW47" s="14"/>
      <c r="HX47" s="14"/>
      <c r="HY47" s="14"/>
      <c r="HZ47" s="14"/>
      <c r="IA47" s="14"/>
      <c r="IB47" s="14"/>
      <c r="IC47" s="14"/>
      <c r="ID47" s="14"/>
      <c r="IE47" s="14"/>
      <c r="IF47" s="14"/>
      <c r="IG47" s="14"/>
      <c r="IH47" s="14"/>
      <c r="II47" s="14"/>
      <c r="IJ47" s="14"/>
      <c r="IK47" s="14"/>
      <c r="IL47" s="14"/>
      <c r="IM47" s="14"/>
      <c r="IN47" s="14"/>
      <c r="IO47" s="14"/>
      <c r="IP47" s="14"/>
      <c r="IQ47" s="14"/>
      <c r="IR47" s="14"/>
      <c r="IS47" s="14"/>
      <c r="IT47" s="14"/>
      <c r="IU47" s="14"/>
      <c r="IV47" s="14"/>
      <c r="IW47" s="14"/>
      <c r="IX47" s="14"/>
      <c r="IY47" s="14"/>
      <c r="IZ47" s="14"/>
      <c r="JA47" s="14"/>
      <c r="JB47" s="14"/>
      <c r="JC47" s="14"/>
      <c r="JD47" s="14"/>
      <c r="JE47" s="14"/>
      <c r="JF47" s="14"/>
      <c r="JG47" s="14"/>
      <c r="JH47" s="14"/>
      <c r="JI47" s="14"/>
      <c r="JJ47" s="14"/>
      <c r="JK47" s="14"/>
      <c r="JL47" s="14"/>
      <c r="JM47" s="14"/>
      <c r="JN47" s="14"/>
      <c r="JO47" s="14"/>
      <c r="JP47" s="14"/>
      <c r="JQ47" s="14"/>
      <c r="JR47" s="14"/>
      <c r="JS47" s="14"/>
      <c r="JT47" s="14"/>
      <c r="JU47" s="14"/>
      <c r="JV47" s="14"/>
      <c r="JW47" s="14"/>
      <c r="JX47" s="14"/>
      <c r="JY47" s="14"/>
      <c r="JZ47" s="14"/>
      <c r="KA47" s="14"/>
      <c r="KB47" s="14"/>
      <c r="KC47" s="14"/>
      <c r="KD47" s="14"/>
      <c r="KE47" s="14"/>
      <c r="KF47" s="14"/>
      <c r="KG47" s="14"/>
      <c r="KH47" s="14"/>
      <c r="KI47" s="14"/>
      <c r="KJ47" s="14"/>
      <c r="KK47" s="14"/>
      <c r="KL47" s="14"/>
      <c r="KM47" s="14"/>
      <c r="KN47" s="14"/>
      <c r="KO47" s="14"/>
      <c r="KP47" s="14"/>
      <c r="KQ47" s="14"/>
      <c r="KR47" s="14"/>
      <c r="KS47" s="14"/>
      <c r="KT47" s="14"/>
      <c r="KU47" s="14"/>
      <c r="KV47" s="14"/>
      <c r="KW47" s="14"/>
      <c r="KX47" s="14"/>
      <c r="KY47" s="14"/>
      <c r="KZ47" s="14"/>
      <c r="LA47" s="14"/>
      <c r="LB47" s="14"/>
      <c r="LC47" s="14"/>
      <c r="LD47" s="14"/>
      <c r="LE47" s="14"/>
      <c r="LF47" s="14"/>
      <c r="LG47" s="14"/>
      <c r="LH47" s="14"/>
      <c r="LI47" s="14"/>
      <c r="LJ47" s="14"/>
      <c r="LK47" s="14"/>
      <c r="LL47" s="14"/>
      <c r="LM47" s="14"/>
      <c r="LN47" s="14"/>
      <c r="LO47" s="14"/>
      <c r="LP47" s="14"/>
      <c r="LQ47" s="14"/>
      <c r="LR47" s="14"/>
      <c r="LS47" s="14"/>
      <c r="LT47" s="14"/>
      <c r="LU47" s="14"/>
      <c r="LV47" s="14"/>
      <c r="LW47" s="14"/>
      <c r="LX47" s="14"/>
      <c r="LY47" s="14"/>
      <c r="LZ47" s="14"/>
      <c r="MA47" s="14"/>
      <c r="MB47" s="14"/>
      <c r="MC47" s="14"/>
      <c r="MD47" s="14"/>
      <c r="ME47" s="14"/>
      <c r="MF47" s="14"/>
      <c r="MG47" s="14"/>
      <c r="MH47" s="14"/>
      <c r="MI47" s="14"/>
      <c r="MJ47" s="14"/>
      <c r="MK47" s="14"/>
      <c r="ML47" s="14"/>
      <c r="MM47" s="14"/>
      <c r="MN47" s="14"/>
      <c r="MO47" s="14"/>
      <c r="MP47" s="14"/>
      <c r="MQ47" s="14"/>
      <c r="MR47" s="14"/>
      <c r="MS47" s="14"/>
      <c r="MT47" s="14"/>
      <c r="MU47" s="14"/>
      <c r="MV47" s="14"/>
      <c r="MW47" s="14"/>
      <c r="MX47" s="14"/>
      <c r="MY47" s="14"/>
      <c r="MZ47" s="14"/>
      <c r="NA47" s="14"/>
      <c r="NB47" s="14"/>
      <c r="NC47" s="14"/>
      <c r="ND47" s="14"/>
      <c r="NE47" s="14"/>
      <c r="NF47" s="14"/>
      <c r="NG47" s="14"/>
      <c r="NH47" s="14"/>
      <c r="NI47" s="14"/>
      <c r="NJ47" s="14"/>
      <c r="NK47" s="14"/>
      <c r="NL47" s="14"/>
      <c r="NM47" s="14"/>
      <c r="NN47" s="14"/>
      <c r="NO47" s="14"/>
      <c r="NP47" s="14"/>
      <c r="NQ47" s="14"/>
      <c r="NR47" s="14"/>
      <c r="NS47" s="14"/>
      <c r="NT47" s="14"/>
      <c r="NU47" s="14"/>
      <c r="NV47" s="14"/>
      <c r="NW47" s="14"/>
      <c r="NX47" s="14"/>
      <c r="NY47" s="14"/>
      <c r="NZ47" s="14"/>
      <c r="OA47" s="14"/>
      <c r="OB47" s="14"/>
      <c r="OC47" s="14"/>
      <c r="OD47" s="14"/>
      <c r="OE47" s="14"/>
      <c r="OF47" s="14"/>
      <c r="OG47" s="14"/>
      <c r="OH47" s="14"/>
      <c r="OI47" s="14"/>
      <c r="OJ47" s="14"/>
      <c r="OK47" s="14"/>
      <c r="OL47" s="14"/>
      <c r="OM47" s="14"/>
      <c r="ON47" s="14"/>
      <c r="OO47" s="14"/>
      <c r="OP47" s="14"/>
      <c r="OQ47" s="14"/>
      <c r="OR47" s="14"/>
      <c r="OS47" s="14"/>
      <c r="OT47" s="14"/>
      <c r="OU47" s="14"/>
      <c r="OV47" s="14"/>
      <c r="OW47" s="14"/>
      <c r="OX47" s="14"/>
      <c r="OY47" s="14"/>
      <c r="OZ47" s="14"/>
      <c r="PA47" s="14"/>
      <c r="PB47" s="14"/>
      <c r="PC47" s="14"/>
      <c r="PD47" s="14"/>
      <c r="PE47" s="14"/>
      <c r="PF47" s="14"/>
      <c r="PG47" s="14"/>
      <c r="PH47" s="14"/>
      <c r="PI47" s="14"/>
      <c r="PJ47" s="14"/>
      <c r="PK47" s="14"/>
      <c r="PL47" s="14"/>
      <c r="PM47" s="14"/>
      <c r="PN47" s="14"/>
      <c r="PO47" s="14"/>
      <c r="PP47" s="14"/>
      <c r="PQ47" s="14"/>
      <c r="PR47" s="14"/>
      <c r="PS47" s="14"/>
      <c r="PT47" s="14"/>
      <c r="PU47" s="14"/>
      <c r="PV47" s="14"/>
      <c r="PW47" s="14"/>
      <c r="PX47" s="14"/>
      <c r="PY47" s="14"/>
      <c r="PZ47" s="14"/>
      <c r="QA47" s="14"/>
      <c r="QB47" s="14"/>
      <c r="QC47" s="14"/>
      <c r="QD47" s="14"/>
      <c r="QE47" s="14"/>
      <c r="QF47" s="14"/>
      <c r="QG47" s="14"/>
      <c r="QH47" s="14"/>
      <c r="QI47" s="14"/>
      <c r="QJ47" s="14"/>
      <c r="QK47" s="14"/>
      <c r="QL47" s="14"/>
      <c r="QM47" s="14"/>
      <c r="QN47" s="14"/>
      <c r="QO47" s="14"/>
      <c r="QP47" s="14"/>
      <c r="QQ47" s="14"/>
      <c r="QR47" s="14"/>
      <c r="QS47" s="14"/>
      <c r="QT47" s="14"/>
      <c r="QU47" s="14"/>
      <c r="QV47" s="14"/>
      <c r="QW47" s="14"/>
      <c r="QX47" s="14"/>
      <c r="QY47" s="14"/>
      <c r="QZ47" s="14"/>
      <c r="RA47" s="14"/>
      <c r="RB47" s="14"/>
      <c r="RC47" s="14"/>
      <c r="RD47" s="14"/>
      <c r="RE47" s="14"/>
      <c r="RF47" s="14"/>
      <c r="RG47" s="14"/>
      <c r="RH47" s="14"/>
      <c r="RI47" s="14"/>
      <c r="RJ47" s="14"/>
      <c r="RK47" s="14"/>
      <c r="RL47" s="14"/>
      <c r="RM47" s="14"/>
      <c r="RN47" s="14"/>
      <c r="RO47" s="14"/>
      <c r="RP47" s="14"/>
      <c r="RQ47" s="14"/>
      <c r="RR47" s="14"/>
      <c r="RS47" s="14"/>
      <c r="RT47" s="14"/>
      <c r="RU47" s="14"/>
      <c r="RV47" s="14"/>
      <c r="RW47" s="14"/>
      <c r="RX47" s="14"/>
      <c r="RY47" s="14"/>
      <c r="RZ47" s="14"/>
      <c r="SA47" s="14"/>
      <c r="SB47" s="14"/>
      <c r="SC47" s="14"/>
    </row>
    <row r="48" spans="1:497" ht="27" customHeight="1" thickTop="1" thickBot="1" x14ac:dyDescent="0.2">
      <c r="A48" s="10">
        <v>6.5</v>
      </c>
      <c r="B48" s="11" t="s">
        <v>108</v>
      </c>
      <c r="C48" s="12"/>
      <c r="D48" s="12"/>
      <c r="E48" s="95"/>
      <c r="F48" s="93"/>
      <c r="G48" s="96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  <c r="FG48" s="14"/>
      <c r="FH48" s="14"/>
      <c r="FI48" s="14"/>
      <c r="FJ48" s="14"/>
      <c r="FK48" s="14"/>
      <c r="FL48" s="14"/>
      <c r="FM48" s="14"/>
      <c r="FN48" s="14"/>
      <c r="FO48" s="14"/>
      <c r="FP48" s="14"/>
      <c r="FQ48" s="14"/>
      <c r="FR48" s="14"/>
      <c r="FS48" s="14"/>
      <c r="FT48" s="14"/>
      <c r="FU48" s="14"/>
      <c r="FV48" s="14"/>
      <c r="FW48" s="14"/>
      <c r="FX48" s="14"/>
      <c r="FY48" s="14"/>
      <c r="FZ48" s="14"/>
      <c r="GA48" s="14"/>
      <c r="GB48" s="14"/>
      <c r="GC48" s="14"/>
      <c r="GD48" s="14"/>
      <c r="GE48" s="14"/>
      <c r="GF48" s="14"/>
      <c r="GG48" s="14"/>
      <c r="GH48" s="14"/>
      <c r="GI48" s="14"/>
      <c r="GJ48" s="14"/>
      <c r="GK48" s="14"/>
      <c r="GL48" s="14"/>
      <c r="GM48" s="14"/>
      <c r="GN48" s="14"/>
      <c r="GO48" s="14"/>
      <c r="GP48" s="14"/>
      <c r="GQ48" s="14"/>
      <c r="GR48" s="14"/>
      <c r="GS48" s="14"/>
      <c r="GT48" s="14"/>
      <c r="GU48" s="14"/>
      <c r="GV48" s="14"/>
      <c r="GW48" s="14"/>
      <c r="GX48" s="14"/>
      <c r="GY48" s="14"/>
      <c r="GZ48" s="14"/>
      <c r="HA48" s="14"/>
      <c r="HB48" s="14"/>
      <c r="HC48" s="14"/>
      <c r="HD48" s="14"/>
      <c r="HE48" s="14"/>
      <c r="HF48" s="14"/>
      <c r="HG48" s="14"/>
      <c r="HH48" s="14"/>
      <c r="HI48" s="14"/>
      <c r="HJ48" s="14"/>
      <c r="HK48" s="14"/>
      <c r="HL48" s="14"/>
      <c r="HM48" s="14"/>
      <c r="HN48" s="14"/>
      <c r="HO48" s="14"/>
      <c r="HP48" s="14"/>
      <c r="HQ48" s="14"/>
      <c r="HR48" s="14"/>
      <c r="HS48" s="14"/>
      <c r="HT48" s="14"/>
      <c r="HU48" s="14"/>
      <c r="HV48" s="14"/>
      <c r="HW48" s="14"/>
      <c r="HX48" s="14"/>
      <c r="HY48" s="14"/>
      <c r="HZ48" s="14"/>
      <c r="IA48" s="14"/>
      <c r="IB48" s="14"/>
      <c r="IC48" s="14"/>
      <c r="ID48" s="14"/>
      <c r="IE48" s="14"/>
      <c r="IF48" s="14"/>
      <c r="IG48" s="14"/>
      <c r="IH48" s="14"/>
      <c r="II48" s="14"/>
      <c r="IJ48" s="14"/>
      <c r="IK48" s="14"/>
      <c r="IL48" s="14"/>
      <c r="IM48" s="14"/>
      <c r="IN48" s="14"/>
      <c r="IO48" s="14"/>
      <c r="IP48" s="14"/>
      <c r="IQ48" s="14"/>
      <c r="IR48" s="14"/>
      <c r="IS48" s="14"/>
      <c r="IT48" s="14"/>
      <c r="IU48" s="14"/>
      <c r="IV48" s="14"/>
      <c r="IW48" s="14"/>
      <c r="IX48" s="14"/>
      <c r="IY48" s="14"/>
      <c r="IZ48" s="14"/>
      <c r="JA48" s="14"/>
      <c r="JB48" s="14"/>
      <c r="JC48" s="14"/>
      <c r="JD48" s="14"/>
      <c r="JE48" s="14"/>
      <c r="JF48" s="14"/>
      <c r="JG48" s="14"/>
      <c r="JH48" s="14"/>
      <c r="JI48" s="14"/>
      <c r="JJ48" s="14"/>
      <c r="JK48" s="14"/>
      <c r="JL48" s="14"/>
      <c r="JM48" s="14"/>
      <c r="JN48" s="14"/>
      <c r="JO48" s="14"/>
      <c r="JP48" s="14"/>
      <c r="JQ48" s="14"/>
      <c r="JR48" s="14"/>
      <c r="JS48" s="14"/>
      <c r="JT48" s="14"/>
      <c r="JU48" s="14"/>
      <c r="JV48" s="14"/>
      <c r="JW48" s="14"/>
      <c r="JX48" s="14"/>
      <c r="JY48" s="14"/>
      <c r="JZ48" s="14"/>
      <c r="KA48" s="14"/>
      <c r="KB48" s="14"/>
      <c r="KC48" s="14"/>
      <c r="KD48" s="14"/>
      <c r="KE48" s="14"/>
      <c r="KF48" s="14"/>
      <c r="KG48" s="14"/>
      <c r="KH48" s="14"/>
      <c r="KI48" s="14"/>
      <c r="KJ48" s="14"/>
      <c r="KK48" s="14"/>
      <c r="KL48" s="14"/>
      <c r="KM48" s="14"/>
      <c r="KN48" s="14"/>
      <c r="KO48" s="14"/>
      <c r="KP48" s="14"/>
      <c r="KQ48" s="14"/>
      <c r="KR48" s="14"/>
      <c r="KS48" s="14"/>
      <c r="KT48" s="14"/>
      <c r="KU48" s="14"/>
      <c r="KV48" s="14"/>
      <c r="KW48" s="14"/>
      <c r="KX48" s="14"/>
      <c r="KY48" s="14"/>
      <c r="KZ48" s="14"/>
      <c r="LA48" s="14"/>
      <c r="LB48" s="14"/>
      <c r="LC48" s="14"/>
      <c r="LD48" s="14"/>
      <c r="LE48" s="14"/>
      <c r="LF48" s="14"/>
      <c r="LG48" s="14"/>
      <c r="LH48" s="14"/>
      <c r="LI48" s="14"/>
      <c r="LJ48" s="14"/>
      <c r="LK48" s="14"/>
      <c r="LL48" s="14"/>
      <c r="LM48" s="14"/>
      <c r="LN48" s="14"/>
      <c r="LO48" s="14"/>
      <c r="LP48" s="14"/>
      <c r="LQ48" s="14"/>
      <c r="LR48" s="14"/>
      <c r="LS48" s="14"/>
      <c r="LT48" s="14"/>
      <c r="LU48" s="14"/>
      <c r="LV48" s="14"/>
      <c r="LW48" s="14"/>
      <c r="LX48" s="14"/>
      <c r="LY48" s="14"/>
      <c r="LZ48" s="14"/>
      <c r="MA48" s="14"/>
      <c r="MB48" s="14"/>
      <c r="MC48" s="14"/>
      <c r="MD48" s="14"/>
      <c r="ME48" s="14"/>
      <c r="MF48" s="14"/>
      <c r="MG48" s="14"/>
      <c r="MH48" s="14"/>
      <c r="MI48" s="14"/>
      <c r="MJ48" s="14"/>
      <c r="MK48" s="14"/>
      <c r="ML48" s="14"/>
      <c r="MM48" s="14"/>
      <c r="MN48" s="14"/>
      <c r="MO48" s="14"/>
      <c r="MP48" s="14"/>
      <c r="MQ48" s="14"/>
      <c r="MR48" s="14"/>
      <c r="MS48" s="14"/>
      <c r="MT48" s="14"/>
      <c r="MU48" s="14"/>
      <c r="MV48" s="14"/>
      <c r="MW48" s="14"/>
      <c r="MX48" s="14"/>
      <c r="MY48" s="14"/>
      <c r="MZ48" s="14"/>
      <c r="NA48" s="14"/>
      <c r="NB48" s="14"/>
      <c r="NC48" s="14"/>
      <c r="ND48" s="14"/>
      <c r="NE48" s="14"/>
      <c r="NF48" s="14"/>
      <c r="NG48" s="14"/>
      <c r="NH48" s="14"/>
      <c r="NI48" s="14"/>
      <c r="NJ48" s="14"/>
      <c r="NK48" s="14"/>
      <c r="NL48" s="14"/>
      <c r="NM48" s="14"/>
      <c r="NN48" s="14"/>
      <c r="NO48" s="14"/>
      <c r="NP48" s="14"/>
      <c r="NQ48" s="14"/>
      <c r="NR48" s="14"/>
      <c r="NS48" s="14"/>
      <c r="NT48" s="14"/>
      <c r="NU48" s="14"/>
      <c r="NV48" s="14"/>
      <c r="NW48" s="14"/>
      <c r="NX48" s="14"/>
      <c r="NY48" s="14"/>
      <c r="NZ48" s="14"/>
      <c r="OA48" s="14"/>
      <c r="OB48" s="14"/>
      <c r="OC48" s="14"/>
      <c r="OD48" s="14"/>
      <c r="OE48" s="14"/>
      <c r="OF48" s="14"/>
      <c r="OG48" s="14"/>
      <c r="OH48" s="14"/>
      <c r="OI48" s="14"/>
      <c r="OJ48" s="14"/>
      <c r="OK48" s="14"/>
      <c r="OL48" s="14"/>
      <c r="OM48" s="14"/>
      <c r="ON48" s="14"/>
      <c r="OO48" s="14"/>
      <c r="OP48" s="14"/>
      <c r="OQ48" s="14"/>
      <c r="OR48" s="14"/>
      <c r="OS48" s="14"/>
      <c r="OT48" s="14"/>
      <c r="OU48" s="14"/>
      <c r="OV48" s="14"/>
      <c r="OW48" s="14"/>
      <c r="OX48" s="14"/>
      <c r="OY48" s="14"/>
      <c r="OZ48" s="14"/>
      <c r="PA48" s="14"/>
      <c r="PB48" s="14"/>
      <c r="PC48" s="14"/>
      <c r="PD48" s="14"/>
      <c r="PE48" s="14"/>
      <c r="PF48" s="14"/>
      <c r="PG48" s="14"/>
      <c r="PH48" s="14"/>
      <c r="PI48" s="14"/>
      <c r="PJ48" s="14"/>
      <c r="PK48" s="14"/>
      <c r="PL48" s="14"/>
      <c r="PM48" s="14"/>
      <c r="PN48" s="14"/>
      <c r="PO48" s="14"/>
      <c r="PP48" s="14"/>
      <c r="PQ48" s="14"/>
      <c r="PR48" s="14"/>
      <c r="PS48" s="14"/>
      <c r="PT48" s="14"/>
      <c r="PU48" s="14"/>
      <c r="PV48" s="14"/>
      <c r="PW48" s="14"/>
      <c r="PX48" s="14"/>
      <c r="PY48" s="14"/>
      <c r="PZ48" s="14"/>
      <c r="QA48" s="14"/>
      <c r="QB48" s="14"/>
      <c r="QC48" s="14"/>
      <c r="QD48" s="14"/>
      <c r="QE48" s="14"/>
      <c r="QF48" s="14"/>
      <c r="QG48" s="14"/>
      <c r="QH48" s="14"/>
      <c r="QI48" s="14"/>
      <c r="QJ48" s="14"/>
      <c r="QK48" s="14"/>
      <c r="QL48" s="14"/>
      <c r="QM48" s="14"/>
      <c r="QN48" s="14"/>
      <c r="QO48" s="14"/>
      <c r="QP48" s="14"/>
      <c r="QQ48" s="14"/>
      <c r="QR48" s="14"/>
      <c r="QS48" s="14"/>
      <c r="QT48" s="14"/>
      <c r="QU48" s="14"/>
      <c r="QV48" s="14"/>
      <c r="QW48" s="14"/>
      <c r="QX48" s="14"/>
      <c r="QY48" s="14"/>
      <c r="QZ48" s="14"/>
      <c r="RA48" s="14"/>
      <c r="RB48" s="14"/>
      <c r="RC48" s="14"/>
      <c r="RD48" s="14"/>
      <c r="RE48" s="14"/>
      <c r="RF48" s="14"/>
      <c r="RG48" s="14"/>
      <c r="RH48" s="14"/>
      <c r="RI48" s="14"/>
      <c r="RJ48" s="14"/>
      <c r="RK48" s="14"/>
      <c r="RL48" s="14"/>
      <c r="RM48" s="14"/>
      <c r="RN48" s="14"/>
      <c r="RO48" s="14"/>
      <c r="RP48" s="14"/>
      <c r="RQ48" s="14"/>
      <c r="RR48" s="14"/>
      <c r="RS48" s="14"/>
      <c r="RT48" s="14"/>
      <c r="RU48" s="14"/>
      <c r="RV48" s="14"/>
      <c r="RW48" s="14"/>
      <c r="RX48" s="14"/>
      <c r="RY48" s="14"/>
      <c r="RZ48" s="14"/>
      <c r="SA48" s="14"/>
      <c r="SB48" s="14"/>
      <c r="SC48" s="14"/>
    </row>
    <row r="49" spans="1:497" ht="27" hidden="1" customHeight="1" x14ac:dyDescent="0.15">
      <c r="A49" s="79"/>
      <c r="B49" s="73"/>
      <c r="C49" s="1"/>
      <c r="D49" s="1"/>
      <c r="E49" s="1"/>
      <c r="F49" s="92"/>
      <c r="G49" s="93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  <c r="BC49" s="80"/>
      <c r="BD49" s="80"/>
      <c r="BE49" s="80"/>
      <c r="BF49" s="80"/>
      <c r="BG49" s="80"/>
      <c r="BH49" s="80"/>
      <c r="BI49" s="80"/>
      <c r="BJ49" s="80"/>
      <c r="BK49" s="80"/>
      <c r="BL49" s="80"/>
      <c r="BM49" s="80"/>
      <c r="BN49" s="80"/>
      <c r="BO49" s="80"/>
      <c r="BP49" s="80"/>
      <c r="BQ49" s="80"/>
      <c r="BR49" s="80"/>
      <c r="BS49" s="80"/>
      <c r="BT49" s="80"/>
      <c r="BU49" s="80"/>
      <c r="BV49" s="80"/>
      <c r="BW49" s="80"/>
      <c r="BX49" s="80"/>
      <c r="BY49" s="80"/>
      <c r="BZ49" s="80"/>
      <c r="CA49" s="80"/>
      <c r="CB49" s="80"/>
      <c r="CC49" s="80"/>
      <c r="CD49" s="80"/>
      <c r="CE49" s="80"/>
      <c r="CF49" s="80"/>
      <c r="CG49" s="80"/>
      <c r="CH49" s="80"/>
      <c r="CI49" s="80"/>
      <c r="CJ49" s="80"/>
      <c r="CK49" s="80"/>
      <c r="CL49" s="80"/>
      <c r="CM49" s="80"/>
      <c r="CN49" s="80"/>
      <c r="CO49" s="80"/>
      <c r="CP49" s="80"/>
      <c r="CQ49" s="80"/>
      <c r="CR49" s="80"/>
      <c r="CS49" s="80"/>
      <c r="CT49" s="80"/>
      <c r="CU49" s="80"/>
      <c r="CV49" s="80"/>
      <c r="CW49" s="80"/>
      <c r="CX49" s="80"/>
      <c r="CY49" s="80"/>
      <c r="CZ49" s="80"/>
      <c r="DA49" s="80"/>
      <c r="DB49" s="80"/>
      <c r="DC49" s="80"/>
      <c r="DD49" s="80"/>
      <c r="DE49" s="80"/>
      <c r="DF49" s="80"/>
      <c r="DG49" s="80"/>
      <c r="DH49" s="80"/>
      <c r="DI49" s="80"/>
      <c r="DJ49" s="80"/>
      <c r="DK49" s="80"/>
      <c r="DL49" s="80"/>
      <c r="DM49" s="80"/>
      <c r="DN49" s="80"/>
      <c r="DO49" s="80"/>
      <c r="DP49" s="80"/>
      <c r="DQ49" s="80"/>
      <c r="DR49" s="80"/>
      <c r="DS49" s="80"/>
      <c r="DT49" s="80"/>
      <c r="DU49" s="80"/>
      <c r="DV49" s="80"/>
      <c r="DW49" s="80"/>
      <c r="DX49" s="80"/>
      <c r="DY49" s="80"/>
      <c r="DZ49" s="80"/>
      <c r="EA49" s="80"/>
      <c r="EB49" s="80"/>
      <c r="EC49" s="80"/>
      <c r="ED49" s="80"/>
      <c r="EE49" s="80"/>
      <c r="EF49" s="80"/>
      <c r="EG49" s="80"/>
      <c r="EH49" s="80"/>
      <c r="EI49" s="80"/>
      <c r="EJ49" s="80"/>
      <c r="EK49" s="80"/>
      <c r="EL49" s="80"/>
      <c r="EM49" s="80"/>
      <c r="EN49" s="80"/>
      <c r="EO49" s="80"/>
      <c r="EP49" s="80"/>
      <c r="EQ49" s="80"/>
      <c r="ER49" s="80"/>
      <c r="ES49" s="80"/>
      <c r="ET49" s="80"/>
      <c r="EU49" s="80"/>
      <c r="EV49" s="80"/>
      <c r="EW49" s="80"/>
      <c r="EX49" s="80"/>
      <c r="EY49" s="80"/>
      <c r="EZ49" s="80"/>
      <c r="FA49" s="80"/>
      <c r="FB49" s="80"/>
      <c r="FC49" s="80"/>
      <c r="FD49" s="80"/>
      <c r="FE49" s="80"/>
      <c r="FF49" s="80"/>
      <c r="FG49" s="80"/>
      <c r="FH49" s="80"/>
      <c r="FI49" s="80"/>
      <c r="FJ49" s="80"/>
      <c r="FK49" s="80"/>
      <c r="FL49" s="80"/>
      <c r="FM49" s="80"/>
      <c r="FN49" s="80"/>
      <c r="FO49" s="80"/>
      <c r="FP49" s="80"/>
      <c r="FQ49" s="80"/>
      <c r="FR49" s="80"/>
      <c r="FS49" s="80"/>
      <c r="FT49" s="80"/>
      <c r="FU49" s="80"/>
      <c r="FV49" s="80"/>
      <c r="FW49" s="80"/>
      <c r="FX49" s="80"/>
      <c r="FY49" s="80"/>
      <c r="FZ49" s="80"/>
      <c r="GA49" s="80"/>
      <c r="GB49" s="80"/>
      <c r="GC49" s="80"/>
      <c r="GD49" s="80"/>
      <c r="GE49" s="80"/>
      <c r="GF49" s="80"/>
      <c r="GG49" s="80"/>
      <c r="GH49" s="80"/>
      <c r="GI49" s="80"/>
      <c r="GJ49" s="80"/>
      <c r="GK49" s="80"/>
      <c r="GL49" s="80"/>
      <c r="GM49" s="80"/>
      <c r="GN49" s="80"/>
      <c r="GO49" s="80"/>
      <c r="GP49" s="80"/>
      <c r="GQ49" s="80"/>
      <c r="GR49" s="80"/>
      <c r="GS49" s="80"/>
      <c r="GT49" s="80"/>
      <c r="GU49" s="80"/>
      <c r="GV49" s="80"/>
      <c r="GW49" s="80"/>
      <c r="GX49" s="80"/>
      <c r="GY49" s="80"/>
      <c r="GZ49" s="80"/>
      <c r="HA49" s="80"/>
      <c r="HB49" s="80"/>
      <c r="HC49" s="80"/>
      <c r="HD49" s="80"/>
      <c r="HE49" s="80"/>
      <c r="HF49" s="80"/>
      <c r="HG49" s="80"/>
      <c r="HH49" s="80"/>
      <c r="HI49" s="80"/>
      <c r="HJ49" s="80"/>
      <c r="HK49" s="80"/>
      <c r="HL49" s="80"/>
      <c r="HM49" s="80"/>
      <c r="HN49" s="80"/>
      <c r="HO49" s="80"/>
      <c r="HP49" s="80"/>
      <c r="HQ49" s="80"/>
      <c r="HR49" s="80"/>
      <c r="HS49" s="80"/>
      <c r="HT49" s="80"/>
      <c r="HU49" s="80"/>
      <c r="HV49" s="80"/>
      <c r="HW49" s="80"/>
      <c r="HX49" s="80"/>
      <c r="HY49" s="80"/>
      <c r="HZ49" s="80"/>
      <c r="IA49" s="80"/>
      <c r="IB49" s="80"/>
      <c r="IC49" s="80"/>
      <c r="ID49" s="80"/>
      <c r="IE49" s="80"/>
      <c r="IF49" s="80"/>
      <c r="IG49" s="80"/>
      <c r="IH49" s="80"/>
      <c r="II49" s="80"/>
      <c r="IJ49" s="80"/>
      <c r="IK49" s="80"/>
      <c r="IL49" s="80"/>
      <c r="IM49" s="80"/>
      <c r="IN49" s="80"/>
      <c r="IO49" s="80"/>
      <c r="IP49" s="80"/>
      <c r="IQ49" s="80"/>
      <c r="IR49" s="80"/>
      <c r="IS49" s="80"/>
      <c r="IT49" s="80"/>
      <c r="IU49" s="80"/>
      <c r="IV49" s="80"/>
      <c r="IW49" s="80"/>
      <c r="IX49" s="80"/>
      <c r="IY49" s="80"/>
      <c r="IZ49" s="80"/>
      <c r="JA49" s="80"/>
      <c r="JB49" s="80"/>
      <c r="JC49" s="80"/>
      <c r="JD49" s="80"/>
      <c r="JE49" s="80"/>
      <c r="JF49" s="80"/>
      <c r="JG49" s="80"/>
      <c r="JH49" s="80"/>
      <c r="JI49" s="80"/>
      <c r="JJ49" s="80"/>
      <c r="JK49" s="80"/>
      <c r="JL49" s="80"/>
      <c r="JM49" s="80"/>
      <c r="JN49" s="80"/>
      <c r="JO49" s="80"/>
      <c r="JP49" s="80"/>
      <c r="JQ49" s="80"/>
      <c r="JR49" s="80"/>
      <c r="JS49" s="80"/>
      <c r="JT49" s="80"/>
      <c r="JU49" s="80"/>
      <c r="JV49" s="80"/>
      <c r="JW49" s="80"/>
      <c r="JX49" s="80"/>
      <c r="JY49" s="80"/>
      <c r="JZ49" s="80"/>
      <c r="KA49" s="80"/>
      <c r="KB49" s="80"/>
      <c r="KC49" s="80"/>
      <c r="KD49" s="80"/>
      <c r="KE49" s="80"/>
      <c r="KF49" s="80"/>
      <c r="KG49" s="80"/>
      <c r="KH49" s="80"/>
      <c r="KI49" s="80"/>
      <c r="KJ49" s="80"/>
      <c r="KK49" s="80"/>
      <c r="KL49" s="80"/>
      <c r="KM49" s="80"/>
      <c r="KN49" s="80"/>
      <c r="KO49" s="80"/>
      <c r="KP49" s="80"/>
      <c r="KQ49" s="80"/>
      <c r="KR49" s="80"/>
      <c r="KS49" s="80"/>
      <c r="KT49" s="80"/>
      <c r="KU49" s="80"/>
      <c r="KV49" s="80"/>
      <c r="KW49" s="80"/>
      <c r="KX49" s="80"/>
      <c r="KY49" s="80"/>
      <c r="KZ49" s="80"/>
      <c r="LA49" s="80"/>
      <c r="LB49" s="80"/>
      <c r="LC49" s="80"/>
      <c r="LD49" s="80"/>
      <c r="LE49" s="80"/>
      <c r="LF49" s="80"/>
      <c r="LG49" s="80"/>
      <c r="LH49" s="80"/>
      <c r="LI49" s="80"/>
      <c r="LJ49" s="80"/>
      <c r="LK49" s="80"/>
      <c r="LL49" s="80"/>
      <c r="LM49" s="80"/>
      <c r="LN49" s="80"/>
      <c r="LO49" s="80"/>
      <c r="LP49" s="80"/>
      <c r="LQ49" s="80"/>
      <c r="LR49" s="80"/>
      <c r="LS49" s="80"/>
      <c r="LT49" s="80"/>
      <c r="LU49" s="80"/>
      <c r="LV49" s="80"/>
      <c r="LW49" s="80"/>
      <c r="LX49" s="80"/>
      <c r="LY49" s="80"/>
      <c r="LZ49" s="80"/>
      <c r="MA49" s="80"/>
      <c r="MB49" s="80"/>
      <c r="MC49" s="80"/>
      <c r="MD49" s="80"/>
      <c r="ME49" s="80"/>
      <c r="MF49" s="80"/>
      <c r="MG49" s="80"/>
      <c r="MH49" s="80"/>
      <c r="MI49" s="80"/>
      <c r="MJ49" s="80"/>
      <c r="MK49" s="80"/>
      <c r="ML49" s="80"/>
      <c r="MM49" s="80"/>
      <c r="MN49" s="80"/>
      <c r="MO49" s="80"/>
      <c r="MP49" s="80"/>
      <c r="MQ49" s="80"/>
      <c r="MR49" s="80"/>
      <c r="MS49" s="80"/>
      <c r="MT49" s="80"/>
      <c r="MU49" s="80"/>
      <c r="MV49" s="80"/>
      <c r="MW49" s="80"/>
      <c r="MX49" s="80"/>
      <c r="MY49" s="80"/>
      <c r="MZ49" s="80"/>
      <c r="NA49" s="80"/>
      <c r="NB49" s="80"/>
      <c r="NC49" s="80"/>
      <c r="ND49" s="80"/>
      <c r="NE49" s="80"/>
      <c r="NF49" s="80"/>
      <c r="NG49" s="80"/>
      <c r="NH49" s="80"/>
      <c r="NI49" s="80"/>
      <c r="NJ49" s="80"/>
      <c r="NK49" s="80"/>
      <c r="NL49" s="80"/>
      <c r="NM49" s="80"/>
      <c r="NN49" s="80"/>
      <c r="NO49" s="80"/>
      <c r="NP49" s="80"/>
      <c r="NQ49" s="80"/>
      <c r="NR49" s="80"/>
      <c r="NS49" s="80"/>
      <c r="NT49" s="80"/>
      <c r="NU49" s="80"/>
      <c r="NV49" s="80"/>
      <c r="NW49" s="80"/>
      <c r="NX49" s="80"/>
      <c r="NY49" s="80"/>
      <c r="NZ49" s="80"/>
      <c r="OA49" s="80"/>
      <c r="OB49" s="80"/>
      <c r="OC49" s="80"/>
      <c r="OD49" s="80"/>
      <c r="OE49" s="80"/>
      <c r="OF49" s="80"/>
      <c r="OG49" s="80"/>
      <c r="OH49" s="80"/>
      <c r="OI49" s="80"/>
      <c r="OJ49" s="80"/>
      <c r="OK49" s="80"/>
      <c r="OL49" s="80"/>
      <c r="OM49" s="80"/>
      <c r="ON49" s="80"/>
      <c r="OO49" s="80"/>
      <c r="OP49" s="80"/>
      <c r="OQ49" s="80"/>
      <c r="OR49" s="80"/>
      <c r="OS49" s="80"/>
      <c r="OT49" s="80"/>
      <c r="OU49" s="80"/>
      <c r="OV49" s="80"/>
      <c r="OW49" s="80"/>
      <c r="OX49" s="80"/>
      <c r="OY49" s="80"/>
      <c r="OZ49" s="80"/>
      <c r="PA49" s="80"/>
      <c r="PB49" s="80"/>
      <c r="PC49" s="80"/>
      <c r="PD49" s="80"/>
      <c r="PE49" s="80"/>
      <c r="PF49" s="80"/>
      <c r="PG49" s="80"/>
      <c r="PH49" s="80"/>
      <c r="PI49" s="80"/>
      <c r="PJ49" s="80"/>
      <c r="PK49" s="80"/>
      <c r="PL49" s="80"/>
      <c r="PM49" s="80"/>
      <c r="PN49" s="80"/>
      <c r="PO49" s="80"/>
      <c r="PP49" s="80"/>
      <c r="PQ49" s="80"/>
      <c r="PR49" s="80"/>
      <c r="PS49" s="80"/>
      <c r="PT49" s="80"/>
      <c r="PU49" s="80"/>
      <c r="PV49" s="80"/>
      <c r="PW49" s="80"/>
      <c r="PX49" s="80"/>
      <c r="PY49" s="80"/>
      <c r="PZ49" s="80"/>
      <c r="QA49" s="80"/>
      <c r="QB49" s="80"/>
      <c r="QC49" s="80"/>
      <c r="QD49" s="80"/>
      <c r="QE49" s="80"/>
      <c r="QF49" s="80"/>
      <c r="QG49" s="80"/>
      <c r="QH49" s="80"/>
      <c r="QI49" s="80"/>
      <c r="QJ49" s="80"/>
      <c r="QK49" s="80"/>
      <c r="QL49" s="80"/>
      <c r="QM49" s="80"/>
      <c r="QN49" s="80"/>
      <c r="QO49" s="80"/>
      <c r="QP49" s="80"/>
      <c r="QQ49" s="80"/>
      <c r="QR49" s="80"/>
      <c r="QS49" s="80"/>
      <c r="QT49" s="80"/>
      <c r="QU49" s="80"/>
      <c r="QV49" s="80"/>
      <c r="QW49" s="80"/>
      <c r="QX49" s="80"/>
      <c r="QY49" s="80"/>
      <c r="QZ49" s="80"/>
      <c r="RA49" s="80"/>
      <c r="RB49" s="80"/>
      <c r="RC49" s="80"/>
      <c r="RD49" s="80"/>
      <c r="RE49" s="80"/>
      <c r="RF49" s="80"/>
      <c r="RG49" s="80"/>
      <c r="RH49" s="80"/>
      <c r="RI49" s="80"/>
      <c r="RJ49" s="80"/>
      <c r="RK49" s="80"/>
      <c r="RL49" s="80"/>
      <c r="RM49" s="80"/>
      <c r="RN49" s="80"/>
      <c r="RO49" s="80"/>
      <c r="RP49" s="80"/>
      <c r="RQ49" s="80"/>
      <c r="RR49" s="80"/>
      <c r="RS49" s="80"/>
      <c r="RT49" s="80"/>
      <c r="RU49" s="80"/>
      <c r="RV49" s="80"/>
      <c r="RW49" s="80"/>
      <c r="RX49" s="80"/>
      <c r="RY49" s="80"/>
      <c r="RZ49" s="80"/>
      <c r="SA49" s="80"/>
      <c r="SB49" s="80"/>
      <c r="SC49" s="80"/>
    </row>
    <row r="50" spans="1:497" ht="27" hidden="1" customHeight="1" x14ac:dyDescent="0.15">
      <c r="A50" s="121" t="s">
        <v>118</v>
      </c>
      <c r="B50" s="122"/>
      <c r="C50" s="122"/>
      <c r="D50" s="122"/>
      <c r="E50" s="122"/>
      <c r="F50" s="123" t="s">
        <v>119</v>
      </c>
      <c r="G50" s="124"/>
      <c r="H50" s="74" t="str">
        <f t="shared" ref="H50:JB50" si="4">IF($D$4="","", CONCATENATE("W",H58))</f>
        <v/>
      </c>
      <c r="I50" s="74" t="str">
        <f t="shared" si="4"/>
        <v/>
      </c>
      <c r="J50" s="74" t="str">
        <f t="shared" si="4"/>
        <v/>
      </c>
      <c r="K50" s="74" t="str">
        <f t="shared" si="4"/>
        <v/>
      </c>
      <c r="L50" s="74" t="str">
        <f t="shared" si="4"/>
        <v/>
      </c>
      <c r="M50" s="74" t="str">
        <f t="shared" si="4"/>
        <v/>
      </c>
      <c r="N50" s="74" t="str">
        <f t="shared" si="4"/>
        <v/>
      </c>
      <c r="O50" s="74" t="str">
        <f t="shared" si="4"/>
        <v/>
      </c>
      <c r="P50" s="74" t="str">
        <f t="shared" si="4"/>
        <v/>
      </c>
      <c r="Q50" s="74" t="str">
        <f t="shared" si="4"/>
        <v/>
      </c>
      <c r="R50" s="74" t="str">
        <f t="shared" si="4"/>
        <v/>
      </c>
      <c r="S50" s="74" t="str">
        <f t="shared" si="4"/>
        <v/>
      </c>
      <c r="T50" s="74" t="str">
        <f t="shared" si="4"/>
        <v/>
      </c>
      <c r="U50" s="74" t="str">
        <f t="shared" si="4"/>
        <v/>
      </c>
      <c r="V50" s="74" t="str">
        <f t="shared" si="4"/>
        <v/>
      </c>
      <c r="W50" s="74" t="str">
        <f t="shared" si="4"/>
        <v/>
      </c>
      <c r="X50" s="74" t="str">
        <f t="shared" si="4"/>
        <v/>
      </c>
      <c r="Y50" s="74" t="str">
        <f t="shared" si="4"/>
        <v/>
      </c>
      <c r="Z50" s="74" t="str">
        <f t="shared" si="4"/>
        <v/>
      </c>
      <c r="AA50" s="74" t="str">
        <f t="shared" si="4"/>
        <v/>
      </c>
      <c r="AB50" s="74" t="str">
        <f t="shared" si="4"/>
        <v/>
      </c>
      <c r="AC50" s="74" t="str">
        <f t="shared" si="4"/>
        <v/>
      </c>
      <c r="AD50" s="74" t="str">
        <f t="shared" si="4"/>
        <v/>
      </c>
      <c r="AE50" s="74" t="str">
        <f t="shared" si="4"/>
        <v/>
      </c>
      <c r="AF50" s="74" t="str">
        <f t="shared" si="4"/>
        <v/>
      </c>
      <c r="AG50" s="74" t="str">
        <f t="shared" si="4"/>
        <v/>
      </c>
      <c r="AH50" s="74" t="str">
        <f t="shared" si="4"/>
        <v/>
      </c>
      <c r="AI50" s="74" t="str">
        <f t="shared" si="4"/>
        <v/>
      </c>
      <c r="AJ50" s="74" t="str">
        <f t="shared" si="4"/>
        <v/>
      </c>
      <c r="AK50" s="74" t="str">
        <f t="shared" si="4"/>
        <v/>
      </c>
      <c r="AL50" s="74" t="str">
        <f t="shared" si="4"/>
        <v/>
      </c>
      <c r="AM50" s="74" t="str">
        <f t="shared" si="4"/>
        <v/>
      </c>
      <c r="AN50" s="74" t="str">
        <f t="shared" si="4"/>
        <v/>
      </c>
      <c r="AO50" s="74" t="str">
        <f t="shared" si="4"/>
        <v/>
      </c>
      <c r="AP50" s="74" t="str">
        <f t="shared" si="4"/>
        <v/>
      </c>
      <c r="AQ50" s="74" t="str">
        <f t="shared" si="4"/>
        <v/>
      </c>
      <c r="AR50" s="74" t="str">
        <f t="shared" si="4"/>
        <v/>
      </c>
      <c r="AS50" s="74" t="str">
        <f t="shared" si="4"/>
        <v/>
      </c>
      <c r="AT50" s="74" t="str">
        <f t="shared" si="4"/>
        <v/>
      </c>
      <c r="AU50" s="74" t="str">
        <f t="shared" si="4"/>
        <v/>
      </c>
      <c r="AV50" s="74" t="str">
        <f t="shared" si="4"/>
        <v/>
      </c>
      <c r="AW50" s="74" t="str">
        <f t="shared" si="4"/>
        <v/>
      </c>
      <c r="AX50" s="74" t="str">
        <f t="shared" si="4"/>
        <v/>
      </c>
      <c r="AY50" s="74" t="str">
        <f t="shared" si="4"/>
        <v/>
      </c>
      <c r="AZ50" s="74" t="str">
        <f t="shared" si="4"/>
        <v/>
      </c>
      <c r="BA50" s="74" t="str">
        <f t="shared" si="4"/>
        <v/>
      </c>
      <c r="BB50" s="74" t="str">
        <f t="shared" si="4"/>
        <v/>
      </c>
      <c r="BC50" s="74" t="str">
        <f t="shared" si="4"/>
        <v/>
      </c>
      <c r="BD50" s="74" t="str">
        <f t="shared" si="4"/>
        <v/>
      </c>
      <c r="BE50" s="74" t="str">
        <f t="shared" si="4"/>
        <v/>
      </c>
      <c r="BF50" s="74" t="str">
        <f t="shared" si="4"/>
        <v/>
      </c>
      <c r="BG50" s="74" t="str">
        <f t="shared" si="4"/>
        <v/>
      </c>
      <c r="BH50" s="74" t="str">
        <f t="shared" si="4"/>
        <v/>
      </c>
      <c r="BI50" s="74" t="str">
        <f t="shared" si="4"/>
        <v/>
      </c>
      <c r="BJ50" s="74" t="str">
        <f t="shared" si="4"/>
        <v/>
      </c>
      <c r="BK50" s="74" t="str">
        <f t="shared" si="4"/>
        <v/>
      </c>
      <c r="BL50" s="74" t="str">
        <f t="shared" si="4"/>
        <v/>
      </c>
      <c r="BM50" s="74" t="str">
        <f t="shared" si="4"/>
        <v/>
      </c>
      <c r="BN50" s="74" t="str">
        <f t="shared" si="4"/>
        <v/>
      </c>
      <c r="BO50" s="74" t="str">
        <f t="shared" si="4"/>
        <v/>
      </c>
      <c r="BP50" s="74" t="str">
        <f t="shared" si="4"/>
        <v/>
      </c>
      <c r="BQ50" s="74" t="str">
        <f t="shared" si="4"/>
        <v/>
      </c>
      <c r="BR50" s="74" t="str">
        <f t="shared" si="4"/>
        <v/>
      </c>
      <c r="BS50" s="74" t="str">
        <f t="shared" si="4"/>
        <v/>
      </c>
      <c r="BT50" s="74" t="str">
        <f t="shared" si="4"/>
        <v/>
      </c>
      <c r="BU50" s="74" t="str">
        <f t="shared" si="4"/>
        <v/>
      </c>
      <c r="BV50" s="74" t="str">
        <f t="shared" si="4"/>
        <v/>
      </c>
      <c r="BW50" s="74" t="str">
        <f t="shared" si="4"/>
        <v/>
      </c>
      <c r="BX50" s="74" t="str">
        <f t="shared" si="4"/>
        <v/>
      </c>
      <c r="BY50" s="74" t="str">
        <f t="shared" si="4"/>
        <v/>
      </c>
      <c r="BZ50" s="74" t="str">
        <f t="shared" si="4"/>
        <v/>
      </c>
      <c r="CA50" s="74" t="str">
        <f t="shared" si="4"/>
        <v/>
      </c>
      <c r="CB50" s="74" t="str">
        <f t="shared" si="4"/>
        <v/>
      </c>
      <c r="CC50" s="74" t="str">
        <f t="shared" si="4"/>
        <v/>
      </c>
      <c r="CD50" s="74" t="str">
        <f t="shared" si="4"/>
        <v/>
      </c>
      <c r="CE50" s="74" t="str">
        <f t="shared" si="4"/>
        <v/>
      </c>
      <c r="CF50" s="74" t="str">
        <f t="shared" si="4"/>
        <v/>
      </c>
      <c r="CG50" s="74" t="str">
        <f t="shared" si="4"/>
        <v/>
      </c>
      <c r="CH50" s="74" t="str">
        <f t="shared" si="4"/>
        <v/>
      </c>
      <c r="CI50" s="74" t="str">
        <f t="shared" si="4"/>
        <v/>
      </c>
      <c r="CJ50" s="74" t="str">
        <f t="shared" si="4"/>
        <v/>
      </c>
      <c r="CK50" s="74" t="str">
        <f t="shared" si="4"/>
        <v/>
      </c>
      <c r="CL50" s="74" t="str">
        <f t="shared" si="4"/>
        <v/>
      </c>
      <c r="CM50" s="74" t="str">
        <f t="shared" si="4"/>
        <v/>
      </c>
      <c r="CN50" s="74" t="str">
        <f t="shared" si="4"/>
        <v/>
      </c>
      <c r="CO50" s="74" t="str">
        <f t="shared" si="4"/>
        <v/>
      </c>
      <c r="CP50" s="74" t="str">
        <f t="shared" si="4"/>
        <v/>
      </c>
      <c r="CQ50" s="74" t="str">
        <f t="shared" si="4"/>
        <v/>
      </c>
      <c r="CR50" s="74" t="str">
        <f t="shared" si="4"/>
        <v/>
      </c>
      <c r="CS50" s="74" t="str">
        <f t="shared" si="4"/>
        <v/>
      </c>
      <c r="CT50" s="74" t="str">
        <f t="shared" si="4"/>
        <v/>
      </c>
      <c r="CU50" s="74" t="str">
        <f t="shared" si="4"/>
        <v/>
      </c>
      <c r="CV50" s="74" t="str">
        <f t="shared" si="4"/>
        <v/>
      </c>
      <c r="CW50" s="74" t="str">
        <f t="shared" si="4"/>
        <v/>
      </c>
      <c r="CX50" s="74" t="str">
        <f t="shared" si="4"/>
        <v/>
      </c>
      <c r="CY50" s="74" t="str">
        <f t="shared" si="4"/>
        <v/>
      </c>
      <c r="CZ50" s="74" t="str">
        <f t="shared" si="4"/>
        <v/>
      </c>
      <c r="DA50" s="74" t="str">
        <f t="shared" si="4"/>
        <v/>
      </c>
      <c r="DB50" s="74" t="str">
        <f t="shared" si="4"/>
        <v/>
      </c>
      <c r="DC50" s="74" t="str">
        <f t="shared" si="4"/>
        <v/>
      </c>
      <c r="DD50" s="74" t="str">
        <f t="shared" si="4"/>
        <v/>
      </c>
      <c r="DE50" s="74" t="str">
        <f t="shared" si="4"/>
        <v/>
      </c>
      <c r="DF50" s="74" t="str">
        <f t="shared" si="4"/>
        <v/>
      </c>
      <c r="DG50" s="74" t="str">
        <f t="shared" si="4"/>
        <v/>
      </c>
      <c r="DH50" s="74" t="str">
        <f t="shared" si="4"/>
        <v/>
      </c>
      <c r="DI50" s="74" t="str">
        <f t="shared" si="4"/>
        <v/>
      </c>
      <c r="DJ50" s="74" t="str">
        <f t="shared" si="4"/>
        <v/>
      </c>
      <c r="DK50" s="74" t="str">
        <f t="shared" si="4"/>
        <v/>
      </c>
      <c r="DL50" s="74" t="str">
        <f t="shared" si="4"/>
        <v/>
      </c>
      <c r="DM50" s="74" t="str">
        <f t="shared" si="4"/>
        <v/>
      </c>
      <c r="DN50" s="74" t="str">
        <f t="shared" si="4"/>
        <v/>
      </c>
      <c r="DO50" s="74" t="str">
        <f t="shared" si="4"/>
        <v/>
      </c>
      <c r="DP50" s="74" t="str">
        <f t="shared" si="4"/>
        <v/>
      </c>
      <c r="DQ50" s="74" t="str">
        <f t="shared" si="4"/>
        <v/>
      </c>
      <c r="DR50" s="74" t="str">
        <f t="shared" si="4"/>
        <v/>
      </c>
      <c r="DS50" s="74" t="str">
        <f t="shared" si="4"/>
        <v/>
      </c>
      <c r="DT50" s="74" t="str">
        <f t="shared" si="4"/>
        <v/>
      </c>
      <c r="DU50" s="74" t="str">
        <f t="shared" si="4"/>
        <v/>
      </c>
      <c r="DV50" s="74" t="str">
        <f t="shared" si="4"/>
        <v/>
      </c>
      <c r="DW50" s="74" t="str">
        <f t="shared" si="4"/>
        <v/>
      </c>
      <c r="DX50" s="74" t="str">
        <f t="shared" si="4"/>
        <v/>
      </c>
      <c r="DY50" s="74" t="str">
        <f t="shared" si="4"/>
        <v/>
      </c>
      <c r="DZ50" s="74" t="str">
        <f t="shared" si="4"/>
        <v/>
      </c>
      <c r="EA50" s="74" t="str">
        <f t="shared" si="4"/>
        <v/>
      </c>
      <c r="EB50" s="74" t="str">
        <f t="shared" si="4"/>
        <v/>
      </c>
      <c r="EC50" s="74" t="str">
        <f t="shared" si="4"/>
        <v/>
      </c>
      <c r="ED50" s="74" t="str">
        <f t="shared" si="4"/>
        <v/>
      </c>
      <c r="EE50" s="74" t="str">
        <f t="shared" si="4"/>
        <v/>
      </c>
      <c r="EF50" s="74" t="str">
        <f t="shared" si="4"/>
        <v/>
      </c>
      <c r="EG50" s="74" t="str">
        <f t="shared" si="4"/>
        <v/>
      </c>
      <c r="EH50" s="74" t="str">
        <f t="shared" si="4"/>
        <v/>
      </c>
      <c r="EI50" s="74" t="str">
        <f t="shared" si="4"/>
        <v/>
      </c>
      <c r="EJ50" s="74" t="str">
        <f t="shared" si="4"/>
        <v/>
      </c>
      <c r="EK50" s="74" t="str">
        <f t="shared" si="4"/>
        <v/>
      </c>
      <c r="EL50" s="74" t="str">
        <f t="shared" si="4"/>
        <v/>
      </c>
      <c r="EM50" s="74" t="str">
        <f t="shared" si="4"/>
        <v/>
      </c>
      <c r="EN50" s="74" t="str">
        <f t="shared" si="4"/>
        <v/>
      </c>
      <c r="EO50" s="74" t="str">
        <f t="shared" si="4"/>
        <v/>
      </c>
      <c r="EP50" s="74" t="str">
        <f t="shared" si="4"/>
        <v/>
      </c>
      <c r="EQ50" s="74" t="str">
        <f t="shared" si="4"/>
        <v/>
      </c>
      <c r="ER50" s="74" t="str">
        <f t="shared" si="4"/>
        <v/>
      </c>
      <c r="ES50" s="74" t="str">
        <f t="shared" si="4"/>
        <v/>
      </c>
      <c r="ET50" s="74" t="str">
        <f t="shared" si="4"/>
        <v/>
      </c>
      <c r="EU50" s="74" t="str">
        <f t="shared" si="4"/>
        <v/>
      </c>
      <c r="EV50" s="74" t="str">
        <f t="shared" si="4"/>
        <v/>
      </c>
      <c r="EW50" s="74" t="str">
        <f t="shared" si="4"/>
        <v/>
      </c>
      <c r="EX50" s="74" t="str">
        <f t="shared" si="4"/>
        <v/>
      </c>
      <c r="EY50" s="74" t="str">
        <f t="shared" si="4"/>
        <v/>
      </c>
      <c r="EZ50" s="74" t="str">
        <f t="shared" si="4"/>
        <v/>
      </c>
      <c r="FA50" s="74" t="str">
        <f t="shared" si="4"/>
        <v/>
      </c>
      <c r="FB50" s="74" t="str">
        <f t="shared" si="4"/>
        <v/>
      </c>
      <c r="FC50" s="74" t="str">
        <f t="shared" si="4"/>
        <v/>
      </c>
      <c r="FD50" s="74" t="str">
        <f t="shared" si="4"/>
        <v/>
      </c>
      <c r="FE50" s="74" t="str">
        <f t="shared" si="4"/>
        <v/>
      </c>
      <c r="FF50" s="74" t="str">
        <f t="shared" si="4"/>
        <v/>
      </c>
      <c r="FG50" s="74" t="str">
        <f t="shared" si="4"/>
        <v/>
      </c>
      <c r="FH50" s="74" t="str">
        <f t="shared" si="4"/>
        <v/>
      </c>
      <c r="FI50" s="74" t="str">
        <f t="shared" si="4"/>
        <v/>
      </c>
      <c r="FJ50" s="74" t="str">
        <f t="shared" si="4"/>
        <v/>
      </c>
      <c r="FK50" s="74" t="str">
        <f t="shared" si="4"/>
        <v/>
      </c>
      <c r="FL50" s="74" t="str">
        <f t="shared" si="4"/>
        <v/>
      </c>
      <c r="FM50" s="74" t="str">
        <f t="shared" si="4"/>
        <v/>
      </c>
      <c r="FN50" s="74" t="str">
        <f t="shared" si="4"/>
        <v/>
      </c>
      <c r="FO50" s="74" t="str">
        <f t="shared" si="4"/>
        <v/>
      </c>
      <c r="FP50" s="74" t="str">
        <f t="shared" si="4"/>
        <v/>
      </c>
      <c r="FQ50" s="74" t="str">
        <f t="shared" si="4"/>
        <v/>
      </c>
      <c r="FR50" s="74" t="str">
        <f t="shared" si="4"/>
        <v/>
      </c>
      <c r="FS50" s="74" t="str">
        <f t="shared" si="4"/>
        <v/>
      </c>
      <c r="FT50" s="74" t="str">
        <f t="shared" si="4"/>
        <v/>
      </c>
      <c r="FU50" s="74" t="str">
        <f t="shared" si="4"/>
        <v/>
      </c>
      <c r="FV50" s="74" t="str">
        <f t="shared" si="4"/>
        <v/>
      </c>
      <c r="FW50" s="74" t="str">
        <f t="shared" si="4"/>
        <v/>
      </c>
      <c r="FX50" s="74" t="str">
        <f t="shared" si="4"/>
        <v/>
      </c>
      <c r="FY50" s="74" t="str">
        <f t="shared" si="4"/>
        <v/>
      </c>
      <c r="FZ50" s="74" t="str">
        <f t="shared" si="4"/>
        <v/>
      </c>
      <c r="GA50" s="74" t="str">
        <f t="shared" si="4"/>
        <v/>
      </c>
      <c r="GB50" s="74" t="str">
        <f t="shared" si="4"/>
        <v/>
      </c>
      <c r="GC50" s="74" t="str">
        <f t="shared" si="4"/>
        <v/>
      </c>
      <c r="GD50" s="74" t="str">
        <f t="shared" si="4"/>
        <v/>
      </c>
      <c r="GE50" s="74" t="str">
        <f t="shared" si="4"/>
        <v/>
      </c>
      <c r="GF50" s="74" t="str">
        <f t="shared" si="4"/>
        <v/>
      </c>
      <c r="GG50" s="74" t="str">
        <f t="shared" si="4"/>
        <v/>
      </c>
      <c r="GH50" s="74" t="str">
        <f t="shared" si="4"/>
        <v/>
      </c>
      <c r="GI50" s="74" t="str">
        <f t="shared" si="4"/>
        <v/>
      </c>
      <c r="GJ50" s="74" t="str">
        <f t="shared" si="4"/>
        <v/>
      </c>
      <c r="GK50" s="74" t="str">
        <f t="shared" si="4"/>
        <v/>
      </c>
      <c r="GL50" s="74" t="str">
        <f t="shared" si="4"/>
        <v/>
      </c>
      <c r="GM50" s="74" t="str">
        <f t="shared" si="4"/>
        <v/>
      </c>
      <c r="GN50" s="74" t="str">
        <f t="shared" si="4"/>
        <v/>
      </c>
      <c r="GO50" s="74" t="str">
        <f t="shared" si="4"/>
        <v/>
      </c>
      <c r="GP50" s="74" t="str">
        <f t="shared" si="4"/>
        <v/>
      </c>
      <c r="GQ50" s="74" t="str">
        <f t="shared" si="4"/>
        <v/>
      </c>
      <c r="GR50" s="74" t="str">
        <f t="shared" si="4"/>
        <v/>
      </c>
      <c r="GS50" s="74" t="str">
        <f t="shared" si="4"/>
        <v/>
      </c>
      <c r="GT50" s="74" t="str">
        <f t="shared" si="4"/>
        <v/>
      </c>
      <c r="GU50" s="74" t="str">
        <f t="shared" si="4"/>
        <v/>
      </c>
      <c r="GV50" s="74" t="str">
        <f t="shared" si="4"/>
        <v/>
      </c>
      <c r="GW50" s="74" t="str">
        <f t="shared" si="4"/>
        <v/>
      </c>
      <c r="GX50" s="74" t="str">
        <f t="shared" si="4"/>
        <v/>
      </c>
      <c r="GY50" s="74" t="str">
        <f t="shared" si="4"/>
        <v/>
      </c>
      <c r="GZ50" s="74" t="str">
        <f t="shared" si="4"/>
        <v/>
      </c>
      <c r="HA50" s="74" t="str">
        <f t="shared" si="4"/>
        <v/>
      </c>
      <c r="HB50" s="74" t="str">
        <f t="shared" si="4"/>
        <v/>
      </c>
      <c r="HC50" s="74" t="str">
        <f t="shared" si="4"/>
        <v/>
      </c>
      <c r="HD50" s="74" t="str">
        <f t="shared" si="4"/>
        <v/>
      </c>
      <c r="HE50" s="74" t="str">
        <f t="shared" si="4"/>
        <v/>
      </c>
      <c r="HF50" s="74" t="str">
        <f t="shared" si="4"/>
        <v/>
      </c>
      <c r="HG50" s="74" t="str">
        <f t="shared" si="4"/>
        <v/>
      </c>
      <c r="HH50" s="74" t="str">
        <f t="shared" si="4"/>
        <v/>
      </c>
      <c r="HI50" s="74" t="str">
        <f t="shared" si="4"/>
        <v/>
      </c>
      <c r="HJ50" s="74" t="str">
        <f t="shared" si="4"/>
        <v/>
      </c>
      <c r="HK50" s="74" t="str">
        <f t="shared" si="4"/>
        <v/>
      </c>
      <c r="HL50" s="74" t="str">
        <f t="shared" si="4"/>
        <v/>
      </c>
      <c r="HM50" s="74" t="str">
        <f t="shared" si="4"/>
        <v/>
      </c>
      <c r="HN50" s="74" t="str">
        <f t="shared" si="4"/>
        <v/>
      </c>
      <c r="HO50" s="74" t="str">
        <f t="shared" si="4"/>
        <v/>
      </c>
      <c r="HP50" s="74" t="str">
        <f t="shared" si="4"/>
        <v/>
      </c>
      <c r="HQ50" s="74" t="str">
        <f t="shared" si="4"/>
        <v/>
      </c>
      <c r="HR50" s="74" t="str">
        <f t="shared" si="4"/>
        <v/>
      </c>
      <c r="HS50" s="74" t="str">
        <f t="shared" si="4"/>
        <v/>
      </c>
      <c r="HT50" s="74" t="str">
        <f t="shared" si="4"/>
        <v/>
      </c>
      <c r="HU50" s="74" t="str">
        <f t="shared" si="4"/>
        <v/>
      </c>
      <c r="HV50" s="74" t="str">
        <f t="shared" si="4"/>
        <v/>
      </c>
      <c r="HW50" s="74" t="str">
        <f t="shared" si="4"/>
        <v/>
      </c>
      <c r="HX50" s="74" t="str">
        <f t="shared" si="4"/>
        <v/>
      </c>
      <c r="HY50" s="74" t="str">
        <f t="shared" si="4"/>
        <v/>
      </c>
      <c r="HZ50" s="74" t="str">
        <f t="shared" si="4"/>
        <v/>
      </c>
      <c r="IA50" s="74" t="str">
        <f t="shared" si="4"/>
        <v/>
      </c>
      <c r="IB50" s="74" t="str">
        <f t="shared" si="4"/>
        <v/>
      </c>
      <c r="IC50" s="74" t="str">
        <f t="shared" si="4"/>
        <v/>
      </c>
      <c r="ID50" s="74" t="str">
        <f t="shared" si="4"/>
        <v/>
      </c>
      <c r="IE50" s="74" t="str">
        <f t="shared" si="4"/>
        <v/>
      </c>
      <c r="IF50" s="74" t="str">
        <f t="shared" si="4"/>
        <v/>
      </c>
      <c r="IG50" s="74" t="str">
        <f t="shared" si="4"/>
        <v/>
      </c>
      <c r="IH50" s="74" t="str">
        <f t="shared" si="4"/>
        <v/>
      </c>
      <c r="II50" s="74" t="str">
        <f t="shared" si="4"/>
        <v/>
      </c>
      <c r="IJ50" s="74" t="str">
        <f t="shared" si="4"/>
        <v/>
      </c>
      <c r="IK50" s="74" t="str">
        <f t="shared" si="4"/>
        <v/>
      </c>
      <c r="IL50" s="74" t="str">
        <f t="shared" si="4"/>
        <v/>
      </c>
      <c r="IM50" s="74" t="str">
        <f t="shared" si="4"/>
        <v/>
      </c>
      <c r="IN50" s="74" t="str">
        <f t="shared" si="4"/>
        <v/>
      </c>
      <c r="IO50" s="74" t="str">
        <f t="shared" si="4"/>
        <v/>
      </c>
      <c r="IP50" s="74" t="str">
        <f t="shared" si="4"/>
        <v/>
      </c>
      <c r="IQ50" s="74" t="str">
        <f t="shared" si="4"/>
        <v/>
      </c>
      <c r="IR50" s="74" t="str">
        <f t="shared" si="4"/>
        <v/>
      </c>
      <c r="IS50" s="74" t="str">
        <f t="shared" si="4"/>
        <v/>
      </c>
      <c r="IT50" s="74" t="str">
        <f t="shared" si="4"/>
        <v/>
      </c>
      <c r="IU50" s="74" t="str">
        <f t="shared" si="4"/>
        <v/>
      </c>
      <c r="IV50" s="74" t="str">
        <f t="shared" si="4"/>
        <v/>
      </c>
      <c r="IW50" s="74" t="str">
        <f t="shared" si="4"/>
        <v/>
      </c>
      <c r="IX50" s="74" t="str">
        <f t="shared" si="4"/>
        <v/>
      </c>
      <c r="IY50" s="74" t="str">
        <f t="shared" si="4"/>
        <v/>
      </c>
      <c r="IZ50" s="74" t="str">
        <f t="shared" si="4"/>
        <v/>
      </c>
      <c r="JA50" s="74" t="str">
        <f t="shared" si="4"/>
        <v/>
      </c>
      <c r="JB50" s="74" t="str">
        <f t="shared" si="4"/>
        <v/>
      </c>
      <c r="JC50" s="74" t="str">
        <f t="shared" ref="JC50:SC50" si="5">IF($D$4="","", CONCATENATE("W",JC58))</f>
        <v/>
      </c>
      <c r="JD50" s="74" t="str">
        <f t="shared" si="5"/>
        <v/>
      </c>
      <c r="JE50" s="74" t="str">
        <f t="shared" si="5"/>
        <v/>
      </c>
      <c r="JF50" s="74" t="str">
        <f t="shared" si="5"/>
        <v/>
      </c>
      <c r="JG50" s="74" t="str">
        <f t="shared" si="5"/>
        <v/>
      </c>
      <c r="JH50" s="74" t="str">
        <f t="shared" si="5"/>
        <v/>
      </c>
      <c r="JI50" s="74" t="str">
        <f t="shared" si="5"/>
        <v/>
      </c>
      <c r="JJ50" s="74" t="str">
        <f t="shared" si="5"/>
        <v/>
      </c>
      <c r="JK50" s="74" t="str">
        <f t="shared" si="5"/>
        <v/>
      </c>
      <c r="JL50" s="74" t="str">
        <f t="shared" si="5"/>
        <v/>
      </c>
      <c r="JM50" s="74" t="str">
        <f t="shared" si="5"/>
        <v/>
      </c>
      <c r="JN50" s="74" t="str">
        <f t="shared" si="5"/>
        <v/>
      </c>
      <c r="JO50" s="74" t="str">
        <f t="shared" si="5"/>
        <v/>
      </c>
      <c r="JP50" s="74" t="str">
        <f t="shared" si="5"/>
        <v/>
      </c>
      <c r="JQ50" s="74" t="str">
        <f t="shared" si="5"/>
        <v/>
      </c>
      <c r="JR50" s="74" t="str">
        <f t="shared" si="5"/>
        <v/>
      </c>
      <c r="JS50" s="74" t="str">
        <f t="shared" si="5"/>
        <v/>
      </c>
      <c r="JT50" s="74" t="str">
        <f t="shared" si="5"/>
        <v/>
      </c>
      <c r="JU50" s="74" t="str">
        <f t="shared" si="5"/>
        <v/>
      </c>
      <c r="JV50" s="74" t="str">
        <f t="shared" si="5"/>
        <v/>
      </c>
      <c r="JW50" s="74" t="str">
        <f t="shared" si="5"/>
        <v/>
      </c>
      <c r="JX50" s="74" t="str">
        <f t="shared" si="5"/>
        <v/>
      </c>
      <c r="JY50" s="74" t="str">
        <f t="shared" si="5"/>
        <v/>
      </c>
      <c r="JZ50" s="74" t="str">
        <f t="shared" si="5"/>
        <v/>
      </c>
      <c r="KA50" s="74" t="str">
        <f t="shared" si="5"/>
        <v/>
      </c>
      <c r="KB50" s="74" t="str">
        <f t="shared" si="5"/>
        <v/>
      </c>
      <c r="KC50" s="74" t="str">
        <f t="shared" si="5"/>
        <v/>
      </c>
      <c r="KD50" s="74" t="str">
        <f t="shared" si="5"/>
        <v/>
      </c>
      <c r="KE50" s="74" t="str">
        <f t="shared" si="5"/>
        <v/>
      </c>
      <c r="KF50" s="74" t="str">
        <f t="shared" si="5"/>
        <v/>
      </c>
      <c r="KG50" s="74" t="str">
        <f t="shared" si="5"/>
        <v/>
      </c>
      <c r="KH50" s="74" t="str">
        <f t="shared" si="5"/>
        <v/>
      </c>
      <c r="KI50" s="74" t="str">
        <f t="shared" si="5"/>
        <v/>
      </c>
      <c r="KJ50" s="74" t="str">
        <f t="shared" si="5"/>
        <v/>
      </c>
      <c r="KK50" s="74" t="str">
        <f t="shared" si="5"/>
        <v/>
      </c>
      <c r="KL50" s="74" t="str">
        <f t="shared" si="5"/>
        <v/>
      </c>
      <c r="KM50" s="74" t="str">
        <f t="shared" si="5"/>
        <v/>
      </c>
      <c r="KN50" s="74" t="str">
        <f t="shared" si="5"/>
        <v/>
      </c>
      <c r="KO50" s="74" t="str">
        <f t="shared" si="5"/>
        <v/>
      </c>
      <c r="KP50" s="74" t="str">
        <f t="shared" si="5"/>
        <v/>
      </c>
      <c r="KQ50" s="74" t="str">
        <f t="shared" si="5"/>
        <v/>
      </c>
      <c r="KR50" s="74" t="str">
        <f t="shared" si="5"/>
        <v/>
      </c>
      <c r="KS50" s="74" t="str">
        <f t="shared" si="5"/>
        <v/>
      </c>
      <c r="KT50" s="74" t="str">
        <f t="shared" si="5"/>
        <v/>
      </c>
      <c r="KU50" s="74" t="str">
        <f t="shared" si="5"/>
        <v/>
      </c>
      <c r="KV50" s="74" t="str">
        <f t="shared" si="5"/>
        <v/>
      </c>
      <c r="KW50" s="74" t="str">
        <f t="shared" si="5"/>
        <v/>
      </c>
      <c r="KX50" s="74" t="str">
        <f t="shared" si="5"/>
        <v/>
      </c>
      <c r="KY50" s="74" t="str">
        <f t="shared" si="5"/>
        <v/>
      </c>
      <c r="KZ50" s="74" t="str">
        <f t="shared" si="5"/>
        <v/>
      </c>
      <c r="LA50" s="74" t="str">
        <f t="shared" si="5"/>
        <v/>
      </c>
      <c r="LB50" s="74" t="str">
        <f t="shared" si="5"/>
        <v/>
      </c>
      <c r="LC50" s="74" t="str">
        <f t="shared" si="5"/>
        <v/>
      </c>
      <c r="LD50" s="74" t="str">
        <f t="shared" si="5"/>
        <v/>
      </c>
      <c r="LE50" s="74" t="str">
        <f t="shared" si="5"/>
        <v/>
      </c>
      <c r="LF50" s="74" t="str">
        <f t="shared" si="5"/>
        <v/>
      </c>
      <c r="LG50" s="74" t="str">
        <f t="shared" si="5"/>
        <v/>
      </c>
      <c r="LH50" s="74" t="str">
        <f t="shared" si="5"/>
        <v/>
      </c>
      <c r="LI50" s="74" t="str">
        <f t="shared" si="5"/>
        <v/>
      </c>
      <c r="LJ50" s="74" t="str">
        <f t="shared" si="5"/>
        <v/>
      </c>
      <c r="LK50" s="74" t="str">
        <f t="shared" si="5"/>
        <v/>
      </c>
      <c r="LL50" s="74" t="str">
        <f t="shared" si="5"/>
        <v/>
      </c>
      <c r="LM50" s="74" t="str">
        <f t="shared" si="5"/>
        <v/>
      </c>
      <c r="LN50" s="74" t="str">
        <f t="shared" si="5"/>
        <v/>
      </c>
      <c r="LO50" s="74" t="str">
        <f t="shared" si="5"/>
        <v/>
      </c>
      <c r="LP50" s="74" t="str">
        <f t="shared" si="5"/>
        <v/>
      </c>
      <c r="LQ50" s="74" t="str">
        <f t="shared" si="5"/>
        <v/>
      </c>
      <c r="LR50" s="74" t="str">
        <f t="shared" si="5"/>
        <v/>
      </c>
      <c r="LS50" s="74" t="str">
        <f t="shared" si="5"/>
        <v/>
      </c>
      <c r="LT50" s="74" t="str">
        <f t="shared" si="5"/>
        <v/>
      </c>
      <c r="LU50" s="74" t="str">
        <f t="shared" si="5"/>
        <v/>
      </c>
      <c r="LV50" s="74" t="str">
        <f t="shared" si="5"/>
        <v/>
      </c>
      <c r="LW50" s="74" t="str">
        <f t="shared" si="5"/>
        <v/>
      </c>
      <c r="LX50" s="74" t="str">
        <f t="shared" si="5"/>
        <v/>
      </c>
      <c r="LY50" s="74" t="str">
        <f t="shared" si="5"/>
        <v/>
      </c>
      <c r="LZ50" s="74" t="str">
        <f t="shared" si="5"/>
        <v/>
      </c>
      <c r="MA50" s="74" t="str">
        <f t="shared" si="5"/>
        <v/>
      </c>
      <c r="MB50" s="74" t="str">
        <f t="shared" si="5"/>
        <v/>
      </c>
      <c r="MC50" s="74" t="str">
        <f t="shared" si="5"/>
        <v/>
      </c>
      <c r="MD50" s="74" t="str">
        <f t="shared" si="5"/>
        <v/>
      </c>
      <c r="ME50" s="74" t="str">
        <f t="shared" si="5"/>
        <v/>
      </c>
      <c r="MF50" s="74" t="str">
        <f t="shared" si="5"/>
        <v/>
      </c>
      <c r="MG50" s="74" t="str">
        <f t="shared" si="5"/>
        <v/>
      </c>
      <c r="MH50" s="74" t="str">
        <f t="shared" si="5"/>
        <v/>
      </c>
      <c r="MI50" s="74" t="str">
        <f t="shared" si="5"/>
        <v/>
      </c>
      <c r="MJ50" s="74" t="str">
        <f t="shared" si="5"/>
        <v/>
      </c>
      <c r="MK50" s="74" t="str">
        <f t="shared" si="5"/>
        <v/>
      </c>
      <c r="ML50" s="74" t="str">
        <f t="shared" si="5"/>
        <v/>
      </c>
      <c r="MM50" s="74" t="str">
        <f t="shared" si="5"/>
        <v/>
      </c>
      <c r="MN50" s="74" t="str">
        <f t="shared" si="5"/>
        <v/>
      </c>
      <c r="MO50" s="74" t="str">
        <f t="shared" si="5"/>
        <v/>
      </c>
      <c r="MP50" s="74" t="str">
        <f t="shared" si="5"/>
        <v/>
      </c>
      <c r="MQ50" s="74" t="str">
        <f t="shared" si="5"/>
        <v/>
      </c>
      <c r="MR50" s="74" t="str">
        <f t="shared" si="5"/>
        <v/>
      </c>
      <c r="MS50" s="74" t="str">
        <f t="shared" si="5"/>
        <v/>
      </c>
      <c r="MT50" s="74" t="str">
        <f t="shared" si="5"/>
        <v/>
      </c>
      <c r="MU50" s="74" t="str">
        <f t="shared" si="5"/>
        <v/>
      </c>
      <c r="MV50" s="74" t="str">
        <f t="shared" si="5"/>
        <v/>
      </c>
      <c r="MW50" s="74" t="str">
        <f t="shared" si="5"/>
        <v/>
      </c>
      <c r="MX50" s="74" t="str">
        <f t="shared" si="5"/>
        <v/>
      </c>
      <c r="MY50" s="74" t="str">
        <f t="shared" si="5"/>
        <v/>
      </c>
      <c r="MZ50" s="74" t="str">
        <f t="shared" si="5"/>
        <v/>
      </c>
      <c r="NA50" s="74" t="str">
        <f t="shared" si="5"/>
        <v/>
      </c>
      <c r="NB50" s="74" t="str">
        <f t="shared" si="5"/>
        <v/>
      </c>
      <c r="NC50" s="74" t="str">
        <f t="shared" si="5"/>
        <v/>
      </c>
      <c r="ND50" s="74" t="str">
        <f t="shared" si="5"/>
        <v/>
      </c>
      <c r="NE50" s="74" t="str">
        <f t="shared" si="5"/>
        <v/>
      </c>
      <c r="NF50" s="74" t="str">
        <f t="shared" si="5"/>
        <v/>
      </c>
      <c r="NG50" s="74" t="str">
        <f t="shared" si="5"/>
        <v/>
      </c>
      <c r="NH50" s="74" t="str">
        <f t="shared" si="5"/>
        <v/>
      </c>
      <c r="NI50" s="74" t="str">
        <f t="shared" si="5"/>
        <v/>
      </c>
      <c r="NJ50" s="74" t="str">
        <f t="shared" si="5"/>
        <v/>
      </c>
      <c r="NK50" s="74" t="str">
        <f t="shared" si="5"/>
        <v/>
      </c>
      <c r="NL50" s="74" t="str">
        <f t="shared" si="5"/>
        <v/>
      </c>
      <c r="NM50" s="74" t="str">
        <f t="shared" si="5"/>
        <v/>
      </c>
      <c r="NN50" s="74" t="str">
        <f t="shared" si="5"/>
        <v/>
      </c>
      <c r="NO50" s="74" t="str">
        <f t="shared" si="5"/>
        <v/>
      </c>
      <c r="NP50" s="74" t="str">
        <f t="shared" si="5"/>
        <v/>
      </c>
      <c r="NQ50" s="74" t="str">
        <f t="shared" si="5"/>
        <v/>
      </c>
      <c r="NR50" s="74" t="str">
        <f t="shared" si="5"/>
        <v/>
      </c>
      <c r="NS50" s="74" t="str">
        <f t="shared" si="5"/>
        <v/>
      </c>
      <c r="NT50" s="74" t="str">
        <f t="shared" si="5"/>
        <v/>
      </c>
      <c r="NU50" s="74" t="str">
        <f t="shared" si="5"/>
        <v/>
      </c>
      <c r="NV50" s="74" t="str">
        <f t="shared" si="5"/>
        <v/>
      </c>
      <c r="NW50" s="74" t="str">
        <f t="shared" si="5"/>
        <v/>
      </c>
      <c r="NX50" s="74" t="str">
        <f t="shared" si="5"/>
        <v/>
      </c>
      <c r="NY50" s="74" t="str">
        <f t="shared" si="5"/>
        <v/>
      </c>
      <c r="NZ50" s="74" t="str">
        <f t="shared" si="5"/>
        <v/>
      </c>
      <c r="OA50" s="74" t="str">
        <f t="shared" si="5"/>
        <v/>
      </c>
      <c r="OB50" s="74" t="str">
        <f t="shared" si="5"/>
        <v/>
      </c>
      <c r="OC50" s="74" t="str">
        <f t="shared" si="5"/>
        <v/>
      </c>
      <c r="OD50" s="74" t="str">
        <f t="shared" si="5"/>
        <v/>
      </c>
      <c r="OE50" s="74" t="str">
        <f t="shared" si="5"/>
        <v/>
      </c>
      <c r="OF50" s="74" t="str">
        <f t="shared" si="5"/>
        <v/>
      </c>
      <c r="OG50" s="74" t="str">
        <f t="shared" si="5"/>
        <v/>
      </c>
      <c r="OH50" s="74" t="str">
        <f t="shared" si="5"/>
        <v/>
      </c>
      <c r="OI50" s="74" t="str">
        <f t="shared" si="5"/>
        <v/>
      </c>
      <c r="OJ50" s="74" t="str">
        <f t="shared" si="5"/>
        <v/>
      </c>
      <c r="OK50" s="74" t="str">
        <f t="shared" si="5"/>
        <v/>
      </c>
      <c r="OL50" s="74" t="str">
        <f t="shared" si="5"/>
        <v/>
      </c>
      <c r="OM50" s="74" t="str">
        <f t="shared" si="5"/>
        <v/>
      </c>
      <c r="ON50" s="74" t="str">
        <f t="shared" si="5"/>
        <v/>
      </c>
      <c r="OO50" s="74" t="str">
        <f t="shared" si="5"/>
        <v/>
      </c>
      <c r="OP50" s="74" t="str">
        <f t="shared" si="5"/>
        <v/>
      </c>
      <c r="OQ50" s="74" t="str">
        <f t="shared" si="5"/>
        <v/>
      </c>
      <c r="OR50" s="74" t="str">
        <f t="shared" si="5"/>
        <v/>
      </c>
      <c r="OS50" s="74" t="str">
        <f t="shared" si="5"/>
        <v/>
      </c>
      <c r="OT50" s="74" t="str">
        <f t="shared" si="5"/>
        <v/>
      </c>
      <c r="OU50" s="74" t="str">
        <f t="shared" si="5"/>
        <v/>
      </c>
      <c r="OV50" s="74" t="str">
        <f t="shared" si="5"/>
        <v/>
      </c>
      <c r="OW50" s="74" t="str">
        <f t="shared" si="5"/>
        <v/>
      </c>
      <c r="OX50" s="74" t="str">
        <f t="shared" si="5"/>
        <v/>
      </c>
      <c r="OY50" s="74" t="str">
        <f t="shared" si="5"/>
        <v/>
      </c>
      <c r="OZ50" s="74" t="str">
        <f t="shared" si="5"/>
        <v/>
      </c>
      <c r="PA50" s="74" t="str">
        <f t="shared" si="5"/>
        <v/>
      </c>
      <c r="PB50" s="74" t="str">
        <f t="shared" si="5"/>
        <v/>
      </c>
      <c r="PC50" s="74" t="str">
        <f t="shared" si="5"/>
        <v/>
      </c>
      <c r="PD50" s="74" t="str">
        <f t="shared" si="5"/>
        <v/>
      </c>
      <c r="PE50" s="74" t="str">
        <f t="shared" si="5"/>
        <v/>
      </c>
      <c r="PF50" s="74" t="str">
        <f t="shared" si="5"/>
        <v/>
      </c>
      <c r="PG50" s="74" t="str">
        <f t="shared" si="5"/>
        <v/>
      </c>
      <c r="PH50" s="74" t="str">
        <f t="shared" si="5"/>
        <v/>
      </c>
      <c r="PI50" s="74" t="str">
        <f t="shared" si="5"/>
        <v/>
      </c>
      <c r="PJ50" s="74" t="str">
        <f t="shared" si="5"/>
        <v/>
      </c>
      <c r="PK50" s="74" t="str">
        <f t="shared" si="5"/>
        <v/>
      </c>
      <c r="PL50" s="74" t="str">
        <f t="shared" si="5"/>
        <v/>
      </c>
      <c r="PM50" s="74" t="str">
        <f t="shared" si="5"/>
        <v/>
      </c>
      <c r="PN50" s="74" t="str">
        <f t="shared" si="5"/>
        <v/>
      </c>
      <c r="PO50" s="74" t="str">
        <f t="shared" si="5"/>
        <v/>
      </c>
      <c r="PP50" s="74" t="str">
        <f t="shared" si="5"/>
        <v/>
      </c>
      <c r="PQ50" s="74" t="str">
        <f t="shared" si="5"/>
        <v/>
      </c>
      <c r="PR50" s="74" t="str">
        <f t="shared" si="5"/>
        <v/>
      </c>
      <c r="PS50" s="74" t="str">
        <f t="shared" si="5"/>
        <v/>
      </c>
      <c r="PT50" s="74" t="str">
        <f t="shared" si="5"/>
        <v/>
      </c>
      <c r="PU50" s="74" t="str">
        <f t="shared" si="5"/>
        <v/>
      </c>
      <c r="PV50" s="74" t="str">
        <f t="shared" si="5"/>
        <v/>
      </c>
      <c r="PW50" s="74" t="str">
        <f t="shared" si="5"/>
        <v/>
      </c>
      <c r="PX50" s="74" t="str">
        <f t="shared" si="5"/>
        <v/>
      </c>
      <c r="PY50" s="74" t="str">
        <f t="shared" si="5"/>
        <v/>
      </c>
      <c r="PZ50" s="74" t="str">
        <f t="shared" si="5"/>
        <v/>
      </c>
      <c r="QA50" s="74" t="str">
        <f t="shared" si="5"/>
        <v/>
      </c>
      <c r="QB50" s="74" t="str">
        <f t="shared" si="5"/>
        <v/>
      </c>
      <c r="QC50" s="74" t="str">
        <f t="shared" si="5"/>
        <v/>
      </c>
      <c r="QD50" s="74" t="str">
        <f t="shared" si="5"/>
        <v/>
      </c>
      <c r="QE50" s="74" t="str">
        <f t="shared" si="5"/>
        <v/>
      </c>
      <c r="QF50" s="74" t="str">
        <f t="shared" si="5"/>
        <v/>
      </c>
      <c r="QG50" s="74" t="str">
        <f t="shared" si="5"/>
        <v/>
      </c>
      <c r="QH50" s="74" t="str">
        <f t="shared" si="5"/>
        <v/>
      </c>
      <c r="QI50" s="74" t="str">
        <f t="shared" si="5"/>
        <v/>
      </c>
      <c r="QJ50" s="74" t="str">
        <f t="shared" si="5"/>
        <v/>
      </c>
      <c r="QK50" s="74" t="str">
        <f t="shared" si="5"/>
        <v/>
      </c>
      <c r="QL50" s="74" t="str">
        <f t="shared" si="5"/>
        <v/>
      </c>
      <c r="QM50" s="74" t="str">
        <f t="shared" si="5"/>
        <v/>
      </c>
      <c r="QN50" s="74" t="str">
        <f t="shared" si="5"/>
        <v/>
      </c>
      <c r="QO50" s="74" t="str">
        <f t="shared" si="5"/>
        <v/>
      </c>
      <c r="QP50" s="74" t="str">
        <f t="shared" si="5"/>
        <v/>
      </c>
      <c r="QQ50" s="74" t="str">
        <f t="shared" si="5"/>
        <v/>
      </c>
      <c r="QR50" s="74" t="str">
        <f t="shared" si="5"/>
        <v/>
      </c>
      <c r="QS50" s="74" t="str">
        <f t="shared" si="5"/>
        <v/>
      </c>
      <c r="QT50" s="74" t="str">
        <f t="shared" si="5"/>
        <v/>
      </c>
      <c r="QU50" s="74" t="str">
        <f t="shared" si="5"/>
        <v/>
      </c>
      <c r="QV50" s="74" t="str">
        <f t="shared" si="5"/>
        <v/>
      </c>
      <c r="QW50" s="74" t="str">
        <f t="shared" si="5"/>
        <v/>
      </c>
      <c r="QX50" s="74" t="str">
        <f t="shared" si="5"/>
        <v/>
      </c>
      <c r="QY50" s="74" t="str">
        <f t="shared" si="5"/>
        <v/>
      </c>
      <c r="QZ50" s="74" t="str">
        <f t="shared" si="5"/>
        <v/>
      </c>
      <c r="RA50" s="74" t="str">
        <f t="shared" si="5"/>
        <v/>
      </c>
      <c r="RB50" s="74" t="str">
        <f t="shared" si="5"/>
        <v/>
      </c>
      <c r="RC50" s="74" t="str">
        <f t="shared" si="5"/>
        <v/>
      </c>
      <c r="RD50" s="74" t="str">
        <f t="shared" si="5"/>
        <v/>
      </c>
      <c r="RE50" s="74" t="str">
        <f t="shared" si="5"/>
        <v/>
      </c>
      <c r="RF50" s="74" t="str">
        <f t="shared" si="5"/>
        <v/>
      </c>
      <c r="RG50" s="74" t="str">
        <f t="shared" si="5"/>
        <v/>
      </c>
      <c r="RH50" s="74" t="str">
        <f t="shared" si="5"/>
        <v/>
      </c>
      <c r="RI50" s="74" t="str">
        <f t="shared" si="5"/>
        <v/>
      </c>
      <c r="RJ50" s="74" t="str">
        <f t="shared" si="5"/>
        <v/>
      </c>
      <c r="RK50" s="74" t="str">
        <f t="shared" si="5"/>
        <v/>
      </c>
      <c r="RL50" s="74" t="str">
        <f t="shared" si="5"/>
        <v/>
      </c>
      <c r="RM50" s="74" t="str">
        <f t="shared" si="5"/>
        <v/>
      </c>
      <c r="RN50" s="74" t="str">
        <f t="shared" si="5"/>
        <v/>
      </c>
      <c r="RO50" s="74" t="str">
        <f t="shared" si="5"/>
        <v/>
      </c>
      <c r="RP50" s="74" t="str">
        <f t="shared" si="5"/>
        <v/>
      </c>
      <c r="RQ50" s="74" t="str">
        <f t="shared" si="5"/>
        <v/>
      </c>
      <c r="RR50" s="74" t="str">
        <f t="shared" si="5"/>
        <v/>
      </c>
      <c r="RS50" s="74" t="str">
        <f t="shared" si="5"/>
        <v/>
      </c>
      <c r="RT50" s="74" t="str">
        <f t="shared" si="5"/>
        <v/>
      </c>
      <c r="RU50" s="74" t="str">
        <f t="shared" si="5"/>
        <v/>
      </c>
      <c r="RV50" s="74" t="str">
        <f t="shared" si="5"/>
        <v/>
      </c>
      <c r="RW50" s="74" t="str">
        <f t="shared" si="5"/>
        <v/>
      </c>
      <c r="RX50" s="74" t="str">
        <f t="shared" si="5"/>
        <v/>
      </c>
      <c r="RY50" s="74" t="str">
        <f t="shared" si="5"/>
        <v/>
      </c>
      <c r="RZ50" s="74" t="str">
        <f t="shared" si="5"/>
        <v/>
      </c>
      <c r="SA50" s="74" t="str">
        <f t="shared" si="5"/>
        <v/>
      </c>
      <c r="SB50" s="74" t="str">
        <f t="shared" si="5"/>
        <v/>
      </c>
      <c r="SC50" s="74" t="str">
        <f t="shared" si="5"/>
        <v/>
      </c>
    </row>
    <row r="51" spans="1:497" ht="27" hidden="1" customHeight="1" x14ac:dyDescent="0.15">
      <c r="A51" s="105"/>
      <c r="B51" s="105"/>
      <c r="C51" s="105"/>
      <c r="D51" s="105"/>
      <c r="E51" s="105"/>
      <c r="F51" s="125" t="s">
        <v>81</v>
      </c>
      <c r="G51" s="120"/>
      <c r="H51" s="80" t="str">
        <f>IF(D4="","","W1")</f>
        <v/>
      </c>
      <c r="I51" s="80" t="str">
        <f t="shared" ref="I51:JC51" si="6">IF(H50=I50,"",I50)</f>
        <v/>
      </c>
      <c r="J51" s="80" t="str">
        <f t="shared" si="6"/>
        <v/>
      </c>
      <c r="K51" s="80" t="str">
        <f t="shared" si="6"/>
        <v/>
      </c>
      <c r="L51" s="80" t="str">
        <f t="shared" si="6"/>
        <v/>
      </c>
      <c r="M51" s="80" t="str">
        <f>IF(L50=M50,"",M50)</f>
        <v/>
      </c>
      <c r="N51" s="80" t="str">
        <f t="shared" si="6"/>
        <v/>
      </c>
      <c r="O51" s="80" t="str">
        <f t="shared" si="6"/>
        <v/>
      </c>
      <c r="P51" s="80" t="str">
        <f t="shared" si="6"/>
        <v/>
      </c>
      <c r="Q51" s="80" t="str">
        <f t="shared" si="6"/>
        <v/>
      </c>
      <c r="R51" s="80" t="str">
        <f t="shared" si="6"/>
        <v/>
      </c>
      <c r="S51" s="80" t="str">
        <f t="shared" si="6"/>
        <v/>
      </c>
      <c r="T51" s="80" t="str">
        <f t="shared" si="6"/>
        <v/>
      </c>
      <c r="U51" s="80" t="str">
        <f t="shared" si="6"/>
        <v/>
      </c>
      <c r="V51" s="80" t="str">
        <f t="shared" si="6"/>
        <v/>
      </c>
      <c r="W51" s="80" t="str">
        <f t="shared" si="6"/>
        <v/>
      </c>
      <c r="X51" s="80" t="str">
        <f t="shared" si="6"/>
        <v/>
      </c>
      <c r="Y51" s="80" t="str">
        <f t="shared" si="6"/>
        <v/>
      </c>
      <c r="Z51" s="80" t="str">
        <f t="shared" si="6"/>
        <v/>
      </c>
      <c r="AA51" s="80" t="str">
        <f t="shared" si="6"/>
        <v/>
      </c>
      <c r="AB51" s="80" t="str">
        <f t="shared" si="6"/>
        <v/>
      </c>
      <c r="AC51" s="80" t="str">
        <f t="shared" si="6"/>
        <v/>
      </c>
      <c r="AD51" s="80" t="str">
        <f t="shared" si="6"/>
        <v/>
      </c>
      <c r="AE51" s="80" t="str">
        <f t="shared" si="6"/>
        <v/>
      </c>
      <c r="AF51" s="80" t="str">
        <f t="shared" si="6"/>
        <v/>
      </c>
      <c r="AG51" s="80" t="str">
        <f t="shared" si="6"/>
        <v/>
      </c>
      <c r="AH51" s="80" t="str">
        <f t="shared" si="6"/>
        <v/>
      </c>
      <c r="AI51" s="80" t="str">
        <f t="shared" si="6"/>
        <v/>
      </c>
      <c r="AJ51" s="80" t="str">
        <f t="shared" si="6"/>
        <v/>
      </c>
      <c r="AK51" s="80" t="str">
        <f t="shared" si="6"/>
        <v/>
      </c>
      <c r="AL51" s="80" t="str">
        <f t="shared" si="6"/>
        <v/>
      </c>
      <c r="AM51" s="80" t="str">
        <f t="shared" si="6"/>
        <v/>
      </c>
      <c r="AN51" s="80" t="str">
        <f t="shared" si="6"/>
        <v/>
      </c>
      <c r="AO51" s="80" t="str">
        <f t="shared" si="6"/>
        <v/>
      </c>
      <c r="AP51" s="80" t="str">
        <f t="shared" si="6"/>
        <v/>
      </c>
      <c r="AQ51" s="80" t="str">
        <f t="shared" si="6"/>
        <v/>
      </c>
      <c r="AR51" s="80" t="str">
        <f t="shared" si="6"/>
        <v/>
      </c>
      <c r="AS51" s="80" t="str">
        <f t="shared" si="6"/>
        <v/>
      </c>
      <c r="AT51" s="80" t="str">
        <f t="shared" si="6"/>
        <v/>
      </c>
      <c r="AU51" s="80" t="str">
        <f t="shared" si="6"/>
        <v/>
      </c>
      <c r="AV51" s="80" t="str">
        <f t="shared" si="6"/>
        <v/>
      </c>
      <c r="AW51" s="80" t="str">
        <f t="shared" si="6"/>
        <v/>
      </c>
      <c r="AX51" s="80" t="str">
        <f t="shared" si="6"/>
        <v/>
      </c>
      <c r="AY51" s="80" t="str">
        <f t="shared" si="6"/>
        <v/>
      </c>
      <c r="AZ51" s="80" t="str">
        <f t="shared" si="6"/>
        <v/>
      </c>
      <c r="BA51" s="80" t="str">
        <f t="shared" si="6"/>
        <v/>
      </c>
      <c r="BB51" s="80" t="str">
        <f t="shared" si="6"/>
        <v/>
      </c>
      <c r="BC51" s="80" t="str">
        <f t="shared" si="6"/>
        <v/>
      </c>
      <c r="BD51" s="80" t="str">
        <f t="shared" si="6"/>
        <v/>
      </c>
      <c r="BE51" s="80" t="str">
        <f t="shared" si="6"/>
        <v/>
      </c>
      <c r="BF51" s="80" t="str">
        <f t="shared" si="6"/>
        <v/>
      </c>
      <c r="BG51" s="80" t="str">
        <f t="shared" si="6"/>
        <v/>
      </c>
      <c r="BH51" s="80" t="str">
        <f t="shared" si="6"/>
        <v/>
      </c>
      <c r="BI51" s="80" t="str">
        <f t="shared" si="6"/>
        <v/>
      </c>
      <c r="BJ51" s="80" t="str">
        <f t="shared" si="6"/>
        <v/>
      </c>
      <c r="BK51" s="80" t="str">
        <f t="shared" si="6"/>
        <v/>
      </c>
      <c r="BL51" s="80" t="str">
        <f t="shared" si="6"/>
        <v/>
      </c>
      <c r="BM51" s="80" t="str">
        <f t="shared" si="6"/>
        <v/>
      </c>
      <c r="BN51" s="80" t="str">
        <f t="shared" si="6"/>
        <v/>
      </c>
      <c r="BO51" s="80" t="str">
        <f t="shared" si="6"/>
        <v/>
      </c>
      <c r="BP51" s="80" t="str">
        <f t="shared" si="6"/>
        <v/>
      </c>
      <c r="BQ51" s="80" t="str">
        <f t="shared" si="6"/>
        <v/>
      </c>
      <c r="BR51" s="80" t="str">
        <f t="shared" si="6"/>
        <v/>
      </c>
      <c r="BS51" s="80" t="str">
        <f t="shared" si="6"/>
        <v/>
      </c>
      <c r="BT51" s="80" t="str">
        <f t="shared" si="6"/>
        <v/>
      </c>
      <c r="BU51" s="80" t="str">
        <f t="shared" si="6"/>
        <v/>
      </c>
      <c r="BV51" s="80" t="str">
        <f t="shared" si="6"/>
        <v/>
      </c>
      <c r="BW51" s="80" t="str">
        <f t="shared" si="6"/>
        <v/>
      </c>
      <c r="BX51" s="80" t="str">
        <f t="shared" si="6"/>
        <v/>
      </c>
      <c r="BY51" s="80" t="str">
        <f t="shared" si="6"/>
        <v/>
      </c>
      <c r="BZ51" s="80" t="str">
        <f t="shared" si="6"/>
        <v/>
      </c>
      <c r="CA51" s="80" t="str">
        <f t="shared" si="6"/>
        <v/>
      </c>
      <c r="CB51" s="80" t="str">
        <f t="shared" si="6"/>
        <v/>
      </c>
      <c r="CC51" s="80" t="str">
        <f t="shared" si="6"/>
        <v/>
      </c>
      <c r="CD51" s="80" t="str">
        <f t="shared" si="6"/>
        <v/>
      </c>
      <c r="CE51" s="80" t="str">
        <f t="shared" si="6"/>
        <v/>
      </c>
      <c r="CF51" s="80" t="str">
        <f t="shared" si="6"/>
        <v/>
      </c>
      <c r="CG51" s="80" t="str">
        <f t="shared" si="6"/>
        <v/>
      </c>
      <c r="CH51" s="80" t="str">
        <f t="shared" si="6"/>
        <v/>
      </c>
      <c r="CI51" s="80" t="str">
        <f t="shared" si="6"/>
        <v/>
      </c>
      <c r="CJ51" s="80" t="str">
        <f t="shared" si="6"/>
        <v/>
      </c>
      <c r="CK51" s="80" t="str">
        <f t="shared" si="6"/>
        <v/>
      </c>
      <c r="CL51" s="80" t="str">
        <f t="shared" si="6"/>
        <v/>
      </c>
      <c r="CM51" s="80" t="str">
        <f t="shared" si="6"/>
        <v/>
      </c>
      <c r="CN51" s="80" t="str">
        <f t="shared" si="6"/>
        <v/>
      </c>
      <c r="CO51" s="80" t="str">
        <f t="shared" si="6"/>
        <v/>
      </c>
      <c r="CP51" s="80" t="str">
        <f t="shared" si="6"/>
        <v/>
      </c>
      <c r="CQ51" s="80" t="str">
        <f t="shared" si="6"/>
        <v/>
      </c>
      <c r="CR51" s="80" t="str">
        <f t="shared" si="6"/>
        <v/>
      </c>
      <c r="CS51" s="80" t="str">
        <f t="shared" si="6"/>
        <v/>
      </c>
      <c r="CT51" s="80" t="str">
        <f t="shared" si="6"/>
        <v/>
      </c>
      <c r="CU51" s="80" t="str">
        <f t="shared" si="6"/>
        <v/>
      </c>
      <c r="CV51" s="80" t="str">
        <f t="shared" si="6"/>
        <v/>
      </c>
      <c r="CW51" s="80" t="str">
        <f t="shared" si="6"/>
        <v/>
      </c>
      <c r="CX51" s="80" t="str">
        <f t="shared" si="6"/>
        <v/>
      </c>
      <c r="CY51" s="80" t="str">
        <f t="shared" si="6"/>
        <v/>
      </c>
      <c r="CZ51" s="80" t="str">
        <f t="shared" si="6"/>
        <v/>
      </c>
      <c r="DA51" s="80" t="str">
        <f t="shared" si="6"/>
        <v/>
      </c>
      <c r="DB51" s="80" t="str">
        <f t="shared" si="6"/>
        <v/>
      </c>
      <c r="DC51" s="80" t="str">
        <f t="shared" si="6"/>
        <v/>
      </c>
      <c r="DD51" s="80" t="str">
        <f t="shared" si="6"/>
        <v/>
      </c>
      <c r="DE51" s="80" t="str">
        <f t="shared" si="6"/>
        <v/>
      </c>
      <c r="DF51" s="80" t="str">
        <f t="shared" si="6"/>
        <v/>
      </c>
      <c r="DG51" s="80" t="str">
        <f t="shared" si="6"/>
        <v/>
      </c>
      <c r="DH51" s="80" t="str">
        <f t="shared" si="6"/>
        <v/>
      </c>
      <c r="DI51" s="80" t="str">
        <f t="shared" si="6"/>
        <v/>
      </c>
      <c r="DJ51" s="80" t="str">
        <f t="shared" si="6"/>
        <v/>
      </c>
      <c r="DK51" s="80" t="str">
        <f t="shared" si="6"/>
        <v/>
      </c>
      <c r="DL51" s="80" t="str">
        <f t="shared" si="6"/>
        <v/>
      </c>
      <c r="DM51" s="80" t="str">
        <f t="shared" si="6"/>
        <v/>
      </c>
      <c r="DN51" s="80" t="str">
        <f t="shared" si="6"/>
        <v/>
      </c>
      <c r="DO51" s="80" t="str">
        <f t="shared" si="6"/>
        <v/>
      </c>
      <c r="DP51" s="80" t="str">
        <f t="shared" si="6"/>
        <v/>
      </c>
      <c r="DQ51" s="80" t="str">
        <f t="shared" si="6"/>
        <v/>
      </c>
      <c r="DR51" s="80" t="str">
        <f t="shared" si="6"/>
        <v/>
      </c>
      <c r="DS51" s="80" t="str">
        <f t="shared" si="6"/>
        <v/>
      </c>
      <c r="DT51" s="80" t="str">
        <f t="shared" si="6"/>
        <v/>
      </c>
      <c r="DU51" s="80" t="str">
        <f t="shared" si="6"/>
        <v/>
      </c>
      <c r="DV51" s="80" t="str">
        <f t="shared" si="6"/>
        <v/>
      </c>
      <c r="DW51" s="80" t="str">
        <f t="shared" si="6"/>
        <v/>
      </c>
      <c r="DX51" s="80" t="str">
        <f t="shared" si="6"/>
        <v/>
      </c>
      <c r="DY51" s="80" t="str">
        <f t="shared" si="6"/>
        <v/>
      </c>
      <c r="DZ51" s="80" t="str">
        <f t="shared" si="6"/>
        <v/>
      </c>
      <c r="EA51" s="80" t="str">
        <f t="shared" si="6"/>
        <v/>
      </c>
      <c r="EB51" s="80" t="str">
        <f t="shared" si="6"/>
        <v/>
      </c>
      <c r="EC51" s="80" t="str">
        <f t="shared" si="6"/>
        <v/>
      </c>
      <c r="ED51" s="80" t="str">
        <f t="shared" si="6"/>
        <v/>
      </c>
      <c r="EE51" s="80" t="str">
        <f t="shared" si="6"/>
        <v/>
      </c>
      <c r="EF51" s="80" t="str">
        <f t="shared" si="6"/>
        <v/>
      </c>
      <c r="EG51" s="80" t="str">
        <f t="shared" si="6"/>
        <v/>
      </c>
      <c r="EH51" s="80" t="str">
        <f t="shared" si="6"/>
        <v/>
      </c>
      <c r="EI51" s="80" t="str">
        <f t="shared" si="6"/>
        <v/>
      </c>
      <c r="EJ51" s="80" t="str">
        <f t="shared" si="6"/>
        <v/>
      </c>
      <c r="EK51" s="80" t="str">
        <f t="shared" si="6"/>
        <v/>
      </c>
      <c r="EL51" s="80" t="str">
        <f t="shared" si="6"/>
        <v/>
      </c>
      <c r="EM51" s="80" t="str">
        <f t="shared" si="6"/>
        <v/>
      </c>
      <c r="EN51" s="80" t="str">
        <f t="shared" si="6"/>
        <v/>
      </c>
      <c r="EO51" s="80" t="str">
        <f t="shared" si="6"/>
        <v/>
      </c>
      <c r="EP51" s="80" t="str">
        <f t="shared" si="6"/>
        <v/>
      </c>
      <c r="EQ51" s="80" t="str">
        <f t="shared" si="6"/>
        <v/>
      </c>
      <c r="ER51" s="80" t="str">
        <f t="shared" si="6"/>
        <v/>
      </c>
      <c r="ES51" s="80" t="str">
        <f t="shared" si="6"/>
        <v/>
      </c>
      <c r="ET51" s="80" t="str">
        <f t="shared" si="6"/>
        <v/>
      </c>
      <c r="EU51" s="80" t="str">
        <f t="shared" si="6"/>
        <v/>
      </c>
      <c r="EV51" s="80" t="str">
        <f t="shared" si="6"/>
        <v/>
      </c>
      <c r="EW51" s="80" t="str">
        <f t="shared" si="6"/>
        <v/>
      </c>
      <c r="EX51" s="80" t="str">
        <f t="shared" si="6"/>
        <v/>
      </c>
      <c r="EY51" s="80" t="str">
        <f t="shared" si="6"/>
        <v/>
      </c>
      <c r="EZ51" s="80" t="str">
        <f t="shared" si="6"/>
        <v/>
      </c>
      <c r="FA51" s="80" t="str">
        <f t="shared" si="6"/>
        <v/>
      </c>
      <c r="FB51" s="80" t="str">
        <f t="shared" si="6"/>
        <v/>
      </c>
      <c r="FC51" s="80" t="str">
        <f t="shared" si="6"/>
        <v/>
      </c>
      <c r="FD51" s="80" t="str">
        <f t="shared" si="6"/>
        <v/>
      </c>
      <c r="FE51" s="80" t="str">
        <f t="shared" si="6"/>
        <v/>
      </c>
      <c r="FF51" s="80" t="str">
        <f t="shared" si="6"/>
        <v/>
      </c>
      <c r="FG51" s="80" t="str">
        <f t="shared" si="6"/>
        <v/>
      </c>
      <c r="FH51" s="80" t="str">
        <f t="shared" si="6"/>
        <v/>
      </c>
      <c r="FI51" s="80" t="str">
        <f t="shared" si="6"/>
        <v/>
      </c>
      <c r="FJ51" s="80" t="str">
        <f t="shared" si="6"/>
        <v/>
      </c>
      <c r="FK51" s="80" t="str">
        <f t="shared" si="6"/>
        <v/>
      </c>
      <c r="FL51" s="80" t="str">
        <f t="shared" si="6"/>
        <v/>
      </c>
      <c r="FM51" s="80" t="str">
        <f t="shared" si="6"/>
        <v/>
      </c>
      <c r="FN51" s="80" t="str">
        <f t="shared" si="6"/>
        <v/>
      </c>
      <c r="FO51" s="80" t="str">
        <f t="shared" si="6"/>
        <v/>
      </c>
      <c r="FP51" s="80" t="str">
        <f t="shared" si="6"/>
        <v/>
      </c>
      <c r="FQ51" s="80" t="str">
        <f t="shared" si="6"/>
        <v/>
      </c>
      <c r="FR51" s="80" t="str">
        <f t="shared" si="6"/>
        <v/>
      </c>
      <c r="FS51" s="80" t="str">
        <f t="shared" si="6"/>
        <v/>
      </c>
      <c r="FT51" s="80" t="str">
        <f t="shared" si="6"/>
        <v/>
      </c>
      <c r="FU51" s="80" t="str">
        <f t="shared" si="6"/>
        <v/>
      </c>
      <c r="FV51" s="80" t="str">
        <f t="shared" si="6"/>
        <v/>
      </c>
      <c r="FW51" s="80" t="str">
        <f t="shared" si="6"/>
        <v/>
      </c>
      <c r="FX51" s="80" t="str">
        <f t="shared" si="6"/>
        <v/>
      </c>
      <c r="FY51" s="80" t="str">
        <f t="shared" si="6"/>
        <v/>
      </c>
      <c r="FZ51" s="80" t="str">
        <f t="shared" si="6"/>
        <v/>
      </c>
      <c r="GA51" s="80" t="str">
        <f t="shared" si="6"/>
        <v/>
      </c>
      <c r="GB51" s="80" t="str">
        <f t="shared" si="6"/>
        <v/>
      </c>
      <c r="GC51" s="80" t="str">
        <f t="shared" si="6"/>
        <v/>
      </c>
      <c r="GD51" s="80" t="str">
        <f t="shared" si="6"/>
        <v/>
      </c>
      <c r="GE51" s="80" t="str">
        <f t="shared" si="6"/>
        <v/>
      </c>
      <c r="GF51" s="80" t="str">
        <f t="shared" si="6"/>
        <v/>
      </c>
      <c r="GG51" s="80" t="str">
        <f t="shared" si="6"/>
        <v/>
      </c>
      <c r="GH51" s="80" t="str">
        <f t="shared" si="6"/>
        <v/>
      </c>
      <c r="GI51" s="80" t="str">
        <f t="shared" si="6"/>
        <v/>
      </c>
      <c r="GJ51" s="80" t="str">
        <f t="shared" si="6"/>
        <v/>
      </c>
      <c r="GK51" s="80" t="str">
        <f t="shared" si="6"/>
        <v/>
      </c>
      <c r="GL51" s="80" t="str">
        <f t="shared" si="6"/>
        <v/>
      </c>
      <c r="GM51" s="80" t="str">
        <f t="shared" si="6"/>
        <v/>
      </c>
      <c r="GN51" s="80" t="str">
        <f t="shared" si="6"/>
        <v/>
      </c>
      <c r="GO51" s="80" t="str">
        <f t="shared" si="6"/>
        <v/>
      </c>
      <c r="GP51" s="80" t="str">
        <f t="shared" si="6"/>
        <v/>
      </c>
      <c r="GQ51" s="80" t="str">
        <f t="shared" si="6"/>
        <v/>
      </c>
      <c r="GR51" s="80" t="str">
        <f t="shared" si="6"/>
        <v/>
      </c>
      <c r="GS51" s="80" t="str">
        <f t="shared" si="6"/>
        <v/>
      </c>
      <c r="GT51" s="80" t="str">
        <f t="shared" si="6"/>
        <v/>
      </c>
      <c r="GU51" s="80" t="str">
        <f t="shared" si="6"/>
        <v/>
      </c>
      <c r="GV51" s="80" t="str">
        <f t="shared" si="6"/>
        <v/>
      </c>
      <c r="GW51" s="80" t="str">
        <f t="shared" si="6"/>
        <v/>
      </c>
      <c r="GX51" s="80" t="str">
        <f t="shared" si="6"/>
        <v/>
      </c>
      <c r="GY51" s="80" t="str">
        <f t="shared" si="6"/>
        <v/>
      </c>
      <c r="GZ51" s="80" t="str">
        <f t="shared" si="6"/>
        <v/>
      </c>
      <c r="HA51" s="80" t="str">
        <f t="shared" si="6"/>
        <v/>
      </c>
      <c r="HB51" s="80" t="str">
        <f t="shared" si="6"/>
        <v/>
      </c>
      <c r="HC51" s="80" t="str">
        <f t="shared" si="6"/>
        <v/>
      </c>
      <c r="HD51" s="80" t="str">
        <f t="shared" si="6"/>
        <v/>
      </c>
      <c r="HE51" s="80" t="str">
        <f t="shared" si="6"/>
        <v/>
      </c>
      <c r="HF51" s="80" t="str">
        <f t="shared" si="6"/>
        <v/>
      </c>
      <c r="HG51" s="80" t="str">
        <f t="shared" si="6"/>
        <v/>
      </c>
      <c r="HH51" s="80" t="str">
        <f t="shared" si="6"/>
        <v/>
      </c>
      <c r="HI51" s="80" t="str">
        <f t="shared" si="6"/>
        <v/>
      </c>
      <c r="HJ51" s="80" t="str">
        <f t="shared" si="6"/>
        <v/>
      </c>
      <c r="HK51" s="80" t="str">
        <f t="shared" si="6"/>
        <v/>
      </c>
      <c r="HL51" s="80" t="str">
        <f t="shared" si="6"/>
        <v/>
      </c>
      <c r="HM51" s="80" t="str">
        <f t="shared" si="6"/>
        <v/>
      </c>
      <c r="HN51" s="80" t="str">
        <f t="shared" si="6"/>
        <v/>
      </c>
      <c r="HO51" s="80" t="str">
        <f t="shared" si="6"/>
        <v/>
      </c>
      <c r="HP51" s="80" t="str">
        <f t="shared" si="6"/>
        <v/>
      </c>
      <c r="HQ51" s="80" t="str">
        <f t="shared" si="6"/>
        <v/>
      </c>
      <c r="HR51" s="80" t="str">
        <f t="shared" si="6"/>
        <v/>
      </c>
      <c r="HS51" s="80" t="str">
        <f t="shared" si="6"/>
        <v/>
      </c>
      <c r="HT51" s="80" t="str">
        <f t="shared" si="6"/>
        <v/>
      </c>
      <c r="HU51" s="80" t="str">
        <f t="shared" si="6"/>
        <v/>
      </c>
      <c r="HV51" s="80" t="str">
        <f t="shared" si="6"/>
        <v/>
      </c>
      <c r="HW51" s="80" t="str">
        <f t="shared" si="6"/>
        <v/>
      </c>
      <c r="HX51" s="80" t="str">
        <f t="shared" si="6"/>
        <v/>
      </c>
      <c r="HY51" s="80" t="str">
        <f t="shared" si="6"/>
        <v/>
      </c>
      <c r="HZ51" s="80" t="str">
        <f t="shared" si="6"/>
        <v/>
      </c>
      <c r="IA51" s="80" t="str">
        <f t="shared" si="6"/>
        <v/>
      </c>
      <c r="IB51" s="80" t="str">
        <f t="shared" si="6"/>
        <v/>
      </c>
      <c r="IC51" s="80" t="str">
        <f t="shared" si="6"/>
        <v/>
      </c>
      <c r="ID51" s="80" t="str">
        <f t="shared" si="6"/>
        <v/>
      </c>
      <c r="IE51" s="80" t="str">
        <f t="shared" si="6"/>
        <v/>
      </c>
      <c r="IF51" s="80" t="str">
        <f t="shared" si="6"/>
        <v/>
      </c>
      <c r="IG51" s="80" t="str">
        <f t="shared" si="6"/>
        <v/>
      </c>
      <c r="IH51" s="80" t="str">
        <f t="shared" si="6"/>
        <v/>
      </c>
      <c r="II51" s="80" t="str">
        <f t="shared" si="6"/>
        <v/>
      </c>
      <c r="IJ51" s="80" t="str">
        <f t="shared" si="6"/>
        <v/>
      </c>
      <c r="IK51" s="80" t="str">
        <f t="shared" si="6"/>
        <v/>
      </c>
      <c r="IL51" s="80" t="str">
        <f t="shared" si="6"/>
        <v/>
      </c>
      <c r="IM51" s="80" t="str">
        <f t="shared" si="6"/>
        <v/>
      </c>
      <c r="IN51" s="80" t="str">
        <f t="shared" si="6"/>
        <v/>
      </c>
      <c r="IO51" s="80" t="str">
        <f t="shared" si="6"/>
        <v/>
      </c>
      <c r="IP51" s="80" t="str">
        <f t="shared" si="6"/>
        <v/>
      </c>
      <c r="IQ51" s="80" t="str">
        <f t="shared" si="6"/>
        <v/>
      </c>
      <c r="IR51" s="80" t="str">
        <f t="shared" si="6"/>
        <v/>
      </c>
      <c r="IS51" s="80" t="str">
        <f t="shared" si="6"/>
        <v/>
      </c>
      <c r="IT51" s="80" t="str">
        <f t="shared" si="6"/>
        <v/>
      </c>
      <c r="IU51" s="80" t="str">
        <f t="shared" si="6"/>
        <v/>
      </c>
      <c r="IV51" s="80" t="str">
        <f t="shared" si="6"/>
        <v/>
      </c>
      <c r="IW51" s="80" t="str">
        <f t="shared" si="6"/>
        <v/>
      </c>
      <c r="IX51" s="80" t="str">
        <f t="shared" si="6"/>
        <v/>
      </c>
      <c r="IY51" s="80" t="str">
        <f t="shared" si="6"/>
        <v/>
      </c>
      <c r="IZ51" s="80" t="str">
        <f t="shared" si="6"/>
        <v/>
      </c>
      <c r="JA51" s="80" t="str">
        <f t="shared" si="6"/>
        <v/>
      </c>
      <c r="JB51" s="80" t="str">
        <f t="shared" si="6"/>
        <v/>
      </c>
      <c r="JC51" s="80" t="str">
        <f t="shared" si="6"/>
        <v/>
      </c>
      <c r="JD51" s="80" t="str">
        <f t="shared" ref="JD51:SC51" si="7">IF(JC50=JD50,"",JD50)</f>
        <v/>
      </c>
      <c r="JE51" s="80" t="str">
        <f t="shared" si="7"/>
        <v/>
      </c>
      <c r="JF51" s="80" t="str">
        <f t="shared" si="7"/>
        <v/>
      </c>
      <c r="JG51" s="80" t="str">
        <f t="shared" si="7"/>
        <v/>
      </c>
      <c r="JH51" s="80" t="str">
        <f t="shared" si="7"/>
        <v/>
      </c>
      <c r="JI51" s="80" t="str">
        <f t="shared" si="7"/>
        <v/>
      </c>
      <c r="JJ51" s="80" t="str">
        <f t="shared" si="7"/>
        <v/>
      </c>
      <c r="JK51" s="80" t="str">
        <f t="shared" si="7"/>
        <v/>
      </c>
      <c r="JL51" s="80" t="str">
        <f t="shared" si="7"/>
        <v/>
      </c>
      <c r="JM51" s="80" t="str">
        <f t="shared" si="7"/>
        <v/>
      </c>
      <c r="JN51" s="80" t="str">
        <f t="shared" si="7"/>
        <v/>
      </c>
      <c r="JO51" s="80" t="str">
        <f t="shared" si="7"/>
        <v/>
      </c>
      <c r="JP51" s="80" t="str">
        <f t="shared" si="7"/>
        <v/>
      </c>
      <c r="JQ51" s="80" t="str">
        <f t="shared" si="7"/>
        <v/>
      </c>
      <c r="JR51" s="80" t="str">
        <f t="shared" si="7"/>
        <v/>
      </c>
      <c r="JS51" s="80" t="str">
        <f t="shared" si="7"/>
        <v/>
      </c>
      <c r="JT51" s="80" t="str">
        <f t="shared" si="7"/>
        <v/>
      </c>
      <c r="JU51" s="80" t="str">
        <f t="shared" si="7"/>
        <v/>
      </c>
      <c r="JV51" s="80" t="str">
        <f t="shared" si="7"/>
        <v/>
      </c>
      <c r="JW51" s="80" t="str">
        <f t="shared" si="7"/>
        <v/>
      </c>
      <c r="JX51" s="80" t="str">
        <f t="shared" si="7"/>
        <v/>
      </c>
      <c r="JY51" s="80" t="str">
        <f t="shared" si="7"/>
        <v/>
      </c>
      <c r="JZ51" s="80" t="str">
        <f t="shared" si="7"/>
        <v/>
      </c>
      <c r="KA51" s="80" t="str">
        <f t="shared" si="7"/>
        <v/>
      </c>
      <c r="KB51" s="80" t="str">
        <f t="shared" si="7"/>
        <v/>
      </c>
      <c r="KC51" s="80" t="str">
        <f t="shared" si="7"/>
        <v/>
      </c>
      <c r="KD51" s="80" t="str">
        <f t="shared" si="7"/>
        <v/>
      </c>
      <c r="KE51" s="80" t="str">
        <f t="shared" si="7"/>
        <v/>
      </c>
      <c r="KF51" s="80" t="str">
        <f t="shared" si="7"/>
        <v/>
      </c>
      <c r="KG51" s="80" t="str">
        <f t="shared" si="7"/>
        <v/>
      </c>
      <c r="KH51" s="80" t="str">
        <f t="shared" si="7"/>
        <v/>
      </c>
      <c r="KI51" s="80" t="str">
        <f t="shared" si="7"/>
        <v/>
      </c>
      <c r="KJ51" s="80" t="str">
        <f t="shared" si="7"/>
        <v/>
      </c>
      <c r="KK51" s="80" t="str">
        <f t="shared" si="7"/>
        <v/>
      </c>
      <c r="KL51" s="80" t="str">
        <f t="shared" si="7"/>
        <v/>
      </c>
      <c r="KM51" s="80" t="str">
        <f t="shared" si="7"/>
        <v/>
      </c>
      <c r="KN51" s="80" t="str">
        <f t="shared" si="7"/>
        <v/>
      </c>
      <c r="KO51" s="80" t="str">
        <f t="shared" si="7"/>
        <v/>
      </c>
      <c r="KP51" s="80" t="str">
        <f t="shared" si="7"/>
        <v/>
      </c>
      <c r="KQ51" s="80" t="str">
        <f t="shared" si="7"/>
        <v/>
      </c>
      <c r="KR51" s="80" t="str">
        <f t="shared" si="7"/>
        <v/>
      </c>
      <c r="KS51" s="80" t="str">
        <f t="shared" si="7"/>
        <v/>
      </c>
      <c r="KT51" s="80" t="str">
        <f t="shared" si="7"/>
        <v/>
      </c>
      <c r="KU51" s="80" t="str">
        <f t="shared" si="7"/>
        <v/>
      </c>
      <c r="KV51" s="80" t="str">
        <f t="shared" si="7"/>
        <v/>
      </c>
      <c r="KW51" s="80" t="str">
        <f t="shared" si="7"/>
        <v/>
      </c>
      <c r="KX51" s="80" t="str">
        <f t="shared" si="7"/>
        <v/>
      </c>
      <c r="KY51" s="80" t="str">
        <f t="shared" si="7"/>
        <v/>
      </c>
      <c r="KZ51" s="80" t="str">
        <f t="shared" si="7"/>
        <v/>
      </c>
      <c r="LA51" s="80" t="str">
        <f t="shared" si="7"/>
        <v/>
      </c>
      <c r="LB51" s="80" t="str">
        <f t="shared" si="7"/>
        <v/>
      </c>
      <c r="LC51" s="80" t="str">
        <f t="shared" si="7"/>
        <v/>
      </c>
      <c r="LD51" s="80" t="str">
        <f t="shared" si="7"/>
        <v/>
      </c>
      <c r="LE51" s="80" t="str">
        <f t="shared" si="7"/>
        <v/>
      </c>
      <c r="LF51" s="80" t="str">
        <f t="shared" si="7"/>
        <v/>
      </c>
      <c r="LG51" s="80" t="str">
        <f t="shared" si="7"/>
        <v/>
      </c>
      <c r="LH51" s="80" t="str">
        <f t="shared" si="7"/>
        <v/>
      </c>
      <c r="LI51" s="80" t="str">
        <f t="shared" si="7"/>
        <v/>
      </c>
      <c r="LJ51" s="80" t="str">
        <f t="shared" si="7"/>
        <v/>
      </c>
      <c r="LK51" s="80" t="str">
        <f t="shared" si="7"/>
        <v/>
      </c>
      <c r="LL51" s="80" t="str">
        <f t="shared" si="7"/>
        <v/>
      </c>
      <c r="LM51" s="80" t="str">
        <f t="shared" si="7"/>
        <v/>
      </c>
      <c r="LN51" s="80" t="str">
        <f t="shared" si="7"/>
        <v/>
      </c>
      <c r="LO51" s="80" t="str">
        <f t="shared" si="7"/>
        <v/>
      </c>
      <c r="LP51" s="80" t="str">
        <f t="shared" si="7"/>
        <v/>
      </c>
      <c r="LQ51" s="80" t="str">
        <f t="shared" si="7"/>
        <v/>
      </c>
      <c r="LR51" s="80" t="str">
        <f t="shared" si="7"/>
        <v/>
      </c>
      <c r="LS51" s="80" t="str">
        <f t="shared" si="7"/>
        <v/>
      </c>
      <c r="LT51" s="80" t="str">
        <f t="shared" si="7"/>
        <v/>
      </c>
      <c r="LU51" s="80" t="str">
        <f t="shared" si="7"/>
        <v/>
      </c>
      <c r="LV51" s="80" t="str">
        <f t="shared" si="7"/>
        <v/>
      </c>
      <c r="LW51" s="80" t="str">
        <f t="shared" si="7"/>
        <v/>
      </c>
      <c r="LX51" s="80" t="str">
        <f t="shared" si="7"/>
        <v/>
      </c>
      <c r="LY51" s="80" t="str">
        <f t="shared" si="7"/>
        <v/>
      </c>
      <c r="LZ51" s="80" t="str">
        <f t="shared" si="7"/>
        <v/>
      </c>
      <c r="MA51" s="80" t="str">
        <f t="shared" si="7"/>
        <v/>
      </c>
      <c r="MB51" s="80" t="str">
        <f t="shared" si="7"/>
        <v/>
      </c>
      <c r="MC51" s="80" t="str">
        <f t="shared" si="7"/>
        <v/>
      </c>
      <c r="MD51" s="80" t="str">
        <f t="shared" si="7"/>
        <v/>
      </c>
      <c r="ME51" s="80" t="str">
        <f t="shared" si="7"/>
        <v/>
      </c>
      <c r="MF51" s="80" t="str">
        <f t="shared" si="7"/>
        <v/>
      </c>
      <c r="MG51" s="80" t="str">
        <f t="shared" si="7"/>
        <v/>
      </c>
      <c r="MH51" s="80" t="str">
        <f t="shared" si="7"/>
        <v/>
      </c>
      <c r="MI51" s="80" t="str">
        <f t="shared" si="7"/>
        <v/>
      </c>
      <c r="MJ51" s="80" t="str">
        <f t="shared" si="7"/>
        <v/>
      </c>
      <c r="MK51" s="80" t="str">
        <f t="shared" si="7"/>
        <v/>
      </c>
      <c r="ML51" s="80" t="str">
        <f t="shared" si="7"/>
        <v/>
      </c>
      <c r="MM51" s="80" t="str">
        <f t="shared" si="7"/>
        <v/>
      </c>
      <c r="MN51" s="80" t="str">
        <f t="shared" si="7"/>
        <v/>
      </c>
      <c r="MO51" s="80" t="str">
        <f t="shared" si="7"/>
        <v/>
      </c>
      <c r="MP51" s="80" t="str">
        <f t="shared" si="7"/>
        <v/>
      </c>
      <c r="MQ51" s="80" t="str">
        <f t="shared" si="7"/>
        <v/>
      </c>
      <c r="MR51" s="80" t="str">
        <f t="shared" si="7"/>
        <v/>
      </c>
      <c r="MS51" s="80" t="str">
        <f t="shared" si="7"/>
        <v/>
      </c>
      <c r="MT51" s="80" t="str">
        <f t="shared" si="7"/>
        <v/>
      </c>
      <c r="MU51" s="80" t="str">
        <f t="shared" si="7"/>
        <v/>
      </c>
      <c r="MV51" s="80" t="str">
        <f t="shared" si="7"/>
        <v/>
      </c>
      <c r="MW51" s="80" t="str">
        <f t="shared" si="7"/>
        <v/>
      </c>
      <c r="MX51" s="80" t="str">
        <f t="shared" si="7"/>
        <v/>
      </c>
      <c r="MY51" s="80" t="str">
        <f t="shared" si="7"/>
        <v/>
      </c>
      <c r="MZ51" s="80" t="str">
        <f t="shared" si="7"/>
        <v/>
      </c>
      <c r="NA51" s="80" t="str">
        <f t="shared" si="7"/>
        <v/>
      </c>
      <c r="NB51" s="80" t="str">
        <f t="shared" si="7"/>
        <v/>
      </c>
      <c r="NC51" s="80" t="str">
        <f t="shared" si="7"/>
        <v/>
      </c>
      <c r="ND51" s="80" t="str">
        <f t="shared" si="7"/>
        <v/>
      </c>
      <c r="NE51" s="80" t="str">
        <f t="shared" si="7"/>
        <v/>
      </c>
      <c r="NF51" s="80" t="str">
        <f t="shared" si="7"/>
        <v/>
      </c>
      <c r="NG51" s="80" t="str">
        <f t="shared" si="7"/>
        <v/>
      </c>
      <c r="NH51" s="80" t="str">
        <f t="shared" si="7"/>
        <v/>
      </c>
      <c r="NI51" s="80" t="str">
        <f t="shared" si="7"/>
        <v/>
      </c>
      <c r="NJ51" s="80" t="str">
        <f t="shared" si="7"/>
        <v/>
      </c>
      <c r="NK51" s="80" t="str">
        <f t="shared" si="7"/>
        <v/>
      </c>
      <c r="NL51" s="80" t="str">
        <f t="shared" si="7"/>
        <v/>
      </c>
      <c r="NM51" s="80" t="str">
        <f t="shared" si="7"/>
        <v/>
      </c>
      <c r="NN51" s="80" t="str">
        <f t="shared" si="7"/>
        <v/>
      </c>
      <c r="NO51" s="80" t="str">
        <f t="shared" si="7"/>
        <v/>
      </c>
      <c r="NP51" s="80" t="str">
        <f t="shared" si="7"/>
        <v/>
      </c>
      <c r="NQ51" s="80" t="str">
        <f t="shared" si="7"/>
        <v/>
      </c>
      <c r="NR51" s="80" t="str">
        <f t="shared" si="7"/>
        <v/>
      </c>
      <c r="NS51" s="80" t="str">
        <f t="shared" si="7"/>
        <v/>
      </c>
      <c r="NT51" s="80" t="str">
        <f t="shared" si="7"/>
        <v/>
      </c>
      <c r="NU51" s="80" t="str">
        <f t="shared" si="7"/>
        <v/>
      </c>
      <c r="NV51" s="80" t="str">
        <f t="shared" si="7"/>
        <v/>
      </c>
      <c r="NW51" s="80" t="str">
        <f t="shared" si="7"/>
        <v/>
      </c>
      <c r="NX51" s="80" t="str">
        <f t="shared" si="7"/>
        <v/>
      </c>
      <c r="NY51" s="80" t="str">
        <f t="shared" si="7"/>
        <v/>
      </c>
      <c r="NZ51" s="80" t="str">
        <f t="shared" si="7"/>
        <v/>
      </c>
      <c r="OA51" s="80" t="str">
        <f t="shared" si="7"/>
        <v/>
      </c>
      <c r="OB51" s="80" t="str">
        <f t="shared" si="7"/>
        <v/>
      </c>
      <c r="OC51" s="80" t="str">
        <f t="shared" si="7"/>
        <v/>
      </c>
      <c r="OD51" s="80" t="str">
        <f t="shared" si="7"/>
        <v/>
      </c>
      <c r="OE51" s="80" t="str">
        <f t="shared" si="7"/>
        <v/>
      </c>
      <c r="OF51" s="80" t="str">
        <f t="shared" si="7"/>
        <v/>
      </c>
      <c r="OG51" s="80" t="str">
        <f t="shared" si="7"/>
        <v/>
      </c>
      <c r="OH51" s="80" t="str">
        <f t="shared" si="7"/>
        <v/>
      </c>
      <c r="OI51" s="80" t="str">
        <f t="shared" si="7"/>
        <v/>
      </c>
      <c r="OJ51" s="80" t="str">
        <f t="shared" si="7"/>
        <v/>
      </c>
      <c r="OK51" s="80" t="str">
        <f t="shared" si="7"/>
        <v/>
      </c>
      <c r="OL51" s="80" t="str">
        <f t="shared" si="7"/>
        <v/>
      </c>
      <c r="OM51" s="80" t="str">
        <f t="shared" si="7"/>
        <v/>
      </c>
      <c r="ON51" s="80" t="str">
        <f t="shared" si="7"/>
        <v/>
      </c>
      <c r="OO51" s="80" t="str">
        <f t="shared" si="7"/>
        <v/>
      </c>
      <c r="OP51" s="80" t="str">
        <f t="shared" si="7"/>
        <v/>
      </c>
      <c r="OQ51" s="80" t="str">
        <f t="shared" si="7"/>
        <v/>
      </c>
      <c r="OR51" s="80" t="str">
        <f t="shared" si="7"/>
        <v/>
      </c>
      <c r="OS51" s="80" t="str">
        <f t="shared" si="7"/>
        <v/>
      </c>
      <c r="OT51" s="80" t="str">
        <f t="shared" si="7"/>
        <v/>
      </c>
      <c r="OU51" s="80" t="str">
        <f t="shared" si="7"/>
        <v/>
      </c>
      <c r="OV51" s="80" t="str">
        <f t="shared" si="7"/>
        <v/>
      </c>
      <c r="OW51" s="80" t="str">
        <f t="shared" si="7"/>
        <v/>
      </c>
      <c r="OX51" s="80" t="str">
        <f t="shared" si="7"/>
        <v/>
      </c>
      <c r="OY51" s="80" t="str">
        <f t="shared" si="7"/>
        <v/>
      </c>
      <c r="OZ51" s="80" t="str">
        <f t="shared" si="7"/>
        <v/>
      </c>
      <c r="PA51" s="80" t="str">
        <f t="shared" si="7"/>
        <v/>
      </c>
      <c r="PB51" s="80" t="str">
        <f t="shared" si="7"/>
        <v/>
      </c>
      <c r="PC51" s="80" t="str">
        <f t="shared" si="7"/>
        <v/>
      </c>
      <c r="PD51" s="80" t="str">
        <f t="shared" si="7"/>
        <v/>
      </c>
      <c r="PE51" s="80" t="str">
        <f t="shared" si="7"/>
        <v/>
      </c>
      <c r="PF51" s="80" t="str">
        <f t="shared" si="7"/>
        <v/>
      </c>
      <c r="PG51" s="80" t="str">
        <f t="shared" si="7"/>
        <v/>
      </c>
      <c r="PH51" s="80" t="str">
        <f t="shared" si="7"/>
        <v/>
      </c>
      <c r="PI51" s="80" t="str">
        <f t="shared" si="7"/>
        <v/>
      </c>
      <c r="PJ51" s="80" t="str">
        <f t="shared" si="7"/>
        <v/>
      </c>
      <c r="PK51" s="80" t="str">
        <f t="shared" si="7"/>
        <v/>
      </c>
      <c r="PL51" s="80" t="str">
        <f t="shared" si="7"/>
        <v/>
      </c>
      <c r="PM51" s="80" t="str">
        <f t="shared" si="7"/>
        <v/>
      </c>
      <c r="PN51" s="80" t="str">
        <f t="shared" si="7"/>
        <v/>
      </c>
      <c r="PO51" s="80" t="str">
        <f t="shared" si="7"/>
        <v/>
      </c>
      <c r="PP51" s="80" t="str">
        <f t="shared" si="7"/>
        <v/>
      </c>
      <c r="PQ51" s="80" t="str">
        <f t="shared" si="7"/>
        <v/>
      </c>
      <c r="PR51" s="80" t="str">
        <f t="shared" si="7"/>
        <v/>
      </c>
      <c r="PS51" s="80" t="str">
        <f t="shared" si="7"/>
        <v/>
      </c>
      <c r="PT51" s="80" t="str">
        <f t="shared" si="7"/>
        <v/>
      </c>
      <c r="PU51" s="80" t="str">
        <f t="shared" si="7"/>
        <v/>
      </c>
      <c r="PV51" s="80" t="str">
        <f t="shared" si="7"/>
        <v/>
      </c>
      <c r="PW51" s="80" t="str">
        <f t="shared" si="7"/>
        <v/>
      </c>
      <c r="PX51" s="80" t="str">
        <f t="shared" si="7"/>
        <v/>
      </c>
      <c r="PY51" s="80" t="str">
        <f t="shared" si="7"/>
        <v/>
      </c>
      <c r="PZ51" s="80" t="str">
        <f t="shared" si="7"/>
        <v/>
      </c>
      <c r="QA51" s="80" t="str">
        <f t="shared" si="7"/>
        <v/>
      </c>
      <c r="QB51" s="80" t="str">
        <f t="shared" si="7"/>
        <v/>
      </c>
      <c r="QC51" s="80" t="str">
        <f t="shared" si="7"/>
        <v/>
      </c>
      <c r="QD51" s="80" t="str">
        <f t="shared" si="7"/>
        <v/>
      </c>
      <c r="QE51" s="80" t="str">
        <f t="shared" si="7"/>
        <v/>
      </c>
      <c r="QF51" s="80" t="str">
        <f t="shared" si="7"/>
        <v/>
      </c>
      <c r="QG51" s="80" t="str">
        <f t="shared" si="7"/>
        <v/>
      </c>
      <c r="QH51" s="80" t="str">
        <f t="shared" si="7"/>
        <v/>
      </c>
      <c r="QI51" s="80" t="str">
        <f t="shared" si="7"/>
        <v/>
      </c>
      <c r="QJ51" s="80" t="str">
        <f t="shared" si="7"/>
        <v/>
      </c>
      <c r="QK51" s="80" t="str">
        <f t="shared" si="7"/>
        <v/>
      </c>
      <c r="QL51" s="80" t="str">
        <f t="shared" si="7"/>
        <v/>
      </c>
      <c r="QM51" s="80" t="str">
        <f t="shared" si="7"/>
        <v/>
      </c>
      <c r="QN51" s="80" t="str">
        <f t="shared" si="7"/>
        <v/>
      </c>
      <c r="QO51" s="80" t="str">
        <f t="shared" si="7"/>
        <v/>
      </c>
      <c r="QP51" s="80" t="str">
        <f t="shared" si="7"/>
        <v/>
      </c>
      <c r="QQ51" s="80" t="str">
        <f t="shared" si="7"/>
        <v/>
      </c>
      <c r="QR51" s="80" t="str">
        <f t="shared" si="7"/>
        <v/>
      </c>
      <c r="QS51" s="80" t="str">
        <f t="shared" si="7"/>
        <v/>
      </c>
      <c r="QT51" s="80" t="str">
        <f t="shared" si="7"/>
        <v/>
      </c>
      <c r="QU51" s="80" t="str">
        <f t="shared" si="7"/>
        <v/>
      </c>
      <c r="QV51" s="80" t="str">
        <f t="shared" si="7"/>
        <v/>
      </c>
      <c r="QW51" s="80" t="str">
        <f t="shared" si="7"/>
        <v/>
      </c>
      <c r="QX51" s="80" t="str">
        <f t="shared" si="7"/>
        <v/>
      </c>
      <c r="QY51" s="80" t="str">
        <f t="shared" si="7"/>
        <v/>
      </c>
      <c r="QZ51" s="80" t="str">
        <f t="shared" si="7"/>
        <v/>
      </c>
      <c r="RA51" s="80" t="str">
        <f t="shared" si="7"/>
        <v/>
      </c>
      <c r="RB51" s="80" t="str">
        <f t="shared" si="7"/>
        <v/>
      </c>
      <c r="RC51" s="80" t="str">
        <f t="shared" si="7"/>
        <v/>
      </c>
      <c r="RD51" s="80" t="str">
        <f t="shared" si="7"/>
        <v/>
      </c>
      <c r="RE51" s="80" t="str">
        <f t="shared" si="7"/>
        <v/>
      </c>
      <c r="RF51" s="80" t="str">
        <f t="shared" si="7"/>
        <v/>
      </c>
      <c r="RG51" s="80" t="str">
        <f t="shared" si="7"/>
        <v/>
      </c>
      <c r="RH51" s="80" t="str">
        <f t="shared" si="7"/>
        <v/>
      </c>
      <c r="RI51" s="80" t="str">
        <f t="shared" si="7"/>
        <v/>
      </c>
      <c r="RJ51" s="80" t="str">
        <f t="shared" si="7"/>
        <v/>
      </c>
      <c r="RK51" s="80" t="str">
        <f t="shared" si="7"/>
        <v/>
      </c>
      <c r="RL51" s="80" t="str">
        <f t="shared" si="7"/>
        <v/>
      </c>
      <c r="RM51" s="80" t="str">
        <f t="shared" si="7"/>
        <v/>
      </c>
      <c r="RN51" s="80" t="str">
        <f t="shared" si="7"/>
        <v/>
      </c>
      <c r="RO51" s="80" t="str">
        <f t="shared" si="7"/>
        <v/>
      </c>
      <c r="RP51" s="80" t="str">
        <f t="shared" si="7"/>
        <v/>
      </c>
      <c r="RQ51" s="80" t="str">
        <f t="shared" si="7"/>
        <v/>
      </c>
      <c r="RR51" s="80" t="str">
        <f t="shared" si="7"/>
        <v/>
      </c>
      <c r="RS51" s="80" t="str">
        <f t="shared" si="7"/>
        <v/>
      </c>
      <c r="RT51" s="80" t="str">
        <f t="shared" si="7"/>
        <v/>
      </c>
      <c r="RU51" s="80" t="str">
        <f t="shared" si="7"/>
        <v/>
      </c>
      <c r="RV51" s="80" t="str">
        <f t="shared" si="7"/>
        <v/>
      </c>
      <c r="RW51" s="80" t="str">
        <f t="shared" si="7"/>
        <v/>
      </c>
      <c r="RX51" s="80" t="str">
        <f t="shared" si="7"/>
        <v/>
      </c>
      <c r="RY51" s="80" t="str">
        <f t="shared" si="7"/>
        <v/>
      </c>
      <c r="RZ51" s="80" t="str">
        <f t="shared" si="7"/>
        <v/>
      </c>
      <c r="SA51" s="80" t="str">
        <f t="shared" si="7"/>
        <v/>
      </c>
      <c r="SB51" s="80" t="str">
        <f t="shared" si="7"/>
        <v/>
      </c>
      <c r="SC51" s="80" t="str">
        <f t="shared" si="7"/>
        <v/>
      </c>
    </row>
    <row r="52" spans="1:497" ht="27" hidden="1" customHeight="1" x14ac:dyDescent="0.15">
      <c r="A52" s="105"/>
      <c r="B52" s="105"/>
      <c r="C52" s="105"/>
      <c r="D52" s="105"/>
      <c r="E52" s="105"/>
      <c r="F52" s="125" t="s">
        <v>82</v>
      </c>
      <c r="G52" s="120"/>
      <c r="H52" s="80" t="str">
        <f>IF(D5="","","W1")</f>
        <v/>
      </c>
      <c r="I52" s="80" t="str">
        <f>IF(F50=H50,"",H50)</f>
        <v/>
      </c>
      <c r="J52" s="80" t="str">
        <f t="shared" ref="J52:JD52" si="8">IF(H50=I50,"",I50)</f>
        <v/>
      </c>
      <c r="K52" s="80" t="str">
        <f t="shared" si="8"/>
        <v/>
      </c>
      <c r="L52" s="80" t="str">
        <f t="shared" si="8"/>
        <v/>
      </c>
      <c r="M52" s="80" t="str">
        <f>IF(K50=L50,"",L50)</f>
        <v/>
      </c>
      <c r="N52" s="80" t="str">
        <f>IF(L50=M50,"",M50)</f>
        <v/>
      </c>
      <c r="O52" s="80" t="str">
        <f t="shared" si="8"/>
        <v/>
      </c>
      <c r="P52" s="80" t="str">
        <f t="shared" si="8"/>
        <v/>
      </c>
      <c r="Q52" s="80" t="str">
        <f t="shared" si="8"/>
        <v/>
      </c>
      <c r="R52" s="80" t="str">
        <f t="shared" si="8"/>
        <v/>
      </c>
      <c r="S52" s="80" t="str">
        <f t="shared" si="8"/>
        <v/>
      </c>
      <c r="T52" s="80" t="str">
        <f t="shared" si="8"/>
        <v/>
      </c>
      <c r="U52" s="80" t="str">
        <f t="shared" si="8"/>
        <v/>
      </c>
      <c r="V52" s="80" t="str">
        <f t="shared" si="8"/>
        <v/>
      </c>
      <c r="W52" s="80" t="str">
        <f t="shared" si="8"/>
        <v/>
      </c>
      <c r="X52" s="80" t="str">
        <f t="shared" si="8"/>
        <v/>
      </c>
      <c r="Y52" s="80" t="str">
        <f t="shared" si="8"/>
        <v/>
      </c>
      <c r="Z52" s="80" t="str">
        <f t="shared" si="8"/>
        <v/>
      </c>
      <c r="AA52" s="80" t="str">
        <f t="shared" si="8"/>
        <v/>
      </c>
      <c r="AB52" s="80" t="str">
        <f t="shared" si="8"/>
        <v/>
      </c>
      <c r="AC52" s="80" t="str">
        <f t="shared" si="8"/>
        <v/>
      </c>
      <c r="AD52" s="80" t="str">
        <f t="shared" si="8"/>
        <v/>
      </c>
      <c r="AE52" s="80" t="str">
        <f t="shared" si="8"/>
        <v/>
      </c>
      <c r="AF52" s="80" t="str">
        <f t="shared" si="8"/>
        <v/>
      </c>
      <c r="AG52" s="80" t="str">
        <f t="shared" si="8"/>
        <v/>
      </c>
      <c r="AH52" s="80" t="str">
        <f t="shared" si="8"/>
        <v/>
      </c>
      <c r="AI52" s="80" t="str">
        <f t="shared" si="8"/>
        <v/>
      </c>
      <c r="AJ52" s="80" t="str">
        <f t="shared" si="8"/>
        <v/>
      </c>
      <c r="AK52" s="80" t="str">
        <f t="shared" si="8"/>
        <v/>
      </c>
      <c r="AL52" s="80" t="str">
        <f t="shared" si="8"/>
        <v/>
      </c>
      <c r="AM52" s="80" t="str">
        <f t="shared" si="8"/>
        <v/>
      </c>
      <c r="AN52" s="80" t="str">
        <f t="shared" si="8"/>
        <v/>
      </c>
      <c r="AO52" s="80" t="str">
        <f t="shared" si="8"/>
        <v/>
      </c>
      <c r="AP52" s="80" t="str">
        <f t="shared" si="8"/>
        <v/>
      </c>
      <c r="AQ52" s="80" t="str">
        <f t="shared" si="8"/>
        <v/>
      </c>
      <c r="AR52" s="80" t="str">
        <f t="shared" si="8"/>
        <v/>
      </c>
      <c r="AS52" s="80" t="str">
        <f t="shared" si="8"/>
        <v/>
      </c>
      <c r="AT52" s="80" t="str">
        <f t="shared" si="8"/>
        <v/>
      </c>
      <c r="AU52" s="80" t="str">
        <f t="shared" si="8"/>
        <v/>
      </c>
      <c r="AV52" s="80" t="str">
        <f t="shared" si="8"/>
        <v/>
      </c>
      <c r="AW52" s="80" t="str">
        <f t="shared" si="8"/>
        <v/>
      </c>
      <c r="AX52" s="80" t="str">
        <f t="shared" si="8"/>
        <v/>
      </c>
      <c r="AY52" s="80" t="str">
        <f t="shared" si="8"/>
        <v/>
      </c>
      <c r="AZ52" s="80" t="str">
        <f t="shared" si="8"/>
        <v/>
      </c>
      <c r="BA52" s="80" t="str">
        <f t="shared" si="8"/>
        <v/>
      </c>
      <c r="BB52" s="80" t="str">
        <f t="shared" si="8"/>
        <v/>
      </c>
      <c r="BC52" s="80" t="str">
        <f t="shared" si="8"/>
        <v/>
      </c>
      <c r="BD52" s="80" t="str">
        <f t="shared" si="8"/>
        <v/>
      </c>
      <c r="BE52" s="80" t="str">
        <f t="shared" si="8"/>
        <v/>
      </c>
      <c r="BF52" s="80" t="str">
        <f t="shared" si="8"/>
        <v/>
      </c>
      <c r="BG52" s="80" t="str">
        <f t="shared" si="8"/>
        <v/>
      </c>
      <c r="BH52" s="80" t="str">
        <f t="shared" si="8"/>
        <v/>
      </c>
      <c r="BI52" s="80" t="str">
        <f t="shared" si="8"/>
        <v/>
      </c>
      <c r="BJ52" s="80" t="str">
        <f t="shared" si="8"/>
        <v/>
      </c>
      <c r="BK52" s="80" t="str">
        <f t="shared" si="8"/>
        <v/>
      </c>
      <c r="BL52" s="80" t="str">
        <f t="shared" si="8"/>
        <v/>
      </c>
      <c r="BM52" s="80" t="str">
        <f t="shared" si="8"/>
        <v/>
      </c>
      <c r="BN52" s="80" t="str">
        <f t="shared" si="8"/>
        <v/>
      </c>
      <c r="BO52" s="80" t="str">
        <f t="shared" si="8"/>
        <v/>
      </c>
      <c r="BP52" s="80" t="str">
        <f t="shared" si="8"/>
        <v/>
      </c>
      <c r="BQ52" s="80" t="str">
        <f t="shared" si="8"/>
        <v/>
      </c>
      <c r="BR52" s="80" t="str">
        <f t="shared" si="8"/>
        <v/>
      </c>
      <c r="BS52" s="80" t="str">
        <f t="shared" si="8"/>
        <v/>
      </c>
      <c r="BT52" s="80" t="str">
        <f t="shared" si="8"/>
        <v/>
      </c>
      <c r="BU52" s="80" t="str">
        <f t="shared" si="8"/>
        <v/>
      </c>
      <c r="BV52" s="80" t="str">
        <f t="shared" si="8"/>
        <v/>
      </c>
      <c r="BW52" s="80" t="str">
        <f t="shared" si="8"/>
        <v/>
      </c>
      <c r="BX52" s="80" t="str">
        <f t="shared" si="8"/>
        <v/>
      </c>
      <c r="BY52" s="80" t="str">
        <f t="shared" si="8"/>
        <v/>
      </c>
      <c r="BZ52" s="80" t="str">
        <f t="shared" si="8"/>
        <v/>
      </c>
      <c r="CA52" s="80" t="str">
        <f t="shared" si="8"/>
        <v/>
      </c>
      <c r="CB52" s="80" t="str">
        <f t="shared" si="8"/>
        <v/>
      </c>
      <c r="CC52" s="80" t="str">
        <f t="shared" si="8"/>
        <v/>
      </c>
      <c r="CD52" s="80" t="str">
        <f t="shared" si="8"/>
        <v/>
      </c>
      <c r="CE52" s="80" t="str">
        <f t="shared" si="8"/>
        <v/>
      </c>
      <c r="CF52" s="80" t="str">
        <f t="shared" si="8"/>
        <v/>
      </c>
      <c r="CG52" s="80" t="str">
        <f t="shared" si="8"/>
        <v/>
      </c>
      <c r="CH52" s="80" t="str">
        <f t="shared" si="8"/>
        <v/>
      </c>
      <c r="CI52" s="80" t="str">
        <f t="shared" si="8"/>
        <v/>
      </c>
      <c r="CJ52" s="80" t="str">
        <f t="shared" si="8"/>
        <v/>
      </c>
      <c r="CK52" s="80" t="str">
        <f t="shared" si="8"/>
        <v/>
      </c>
      <c r="CL52" s="80" t="str">
        <f t="shared" si="8"/>
        <v/>
      </c>
      <c r="CM52" s="80" t="str">
        <f t="shared" si="8"/>
        <v/>
      </c>
      <c r="CN52" s="80" t="str">
        <f t="shared" si="8"/>
        <v/>
      </c>
      <c r="CO52" s="80" t="str">
        <f t="shared" si="8"/>
        <v/>
      </c>
      <c r="CP52" s="80" t="str">
        <f t="shared" si="8"/>
        <v/>
      </c>
      <c r="CQ52" s="80" t="str">
        <f t="shared" si="8"/>
        <v/>
      </c>
      <c r="CR52" s="80" t="str">
        <f t="shared" si="8"/>
        <v/>
      </c>
      <c r="CS52" s="80" t="str">
        <f t="shared" si="8"/>
        <v/>
      </c>
      <c r="CT52" s="80" t="str">
        <f t="shared" si="8"/>
        <v/>
      </c>
      <c r="CU52" s="80" t="str">
        <f t="shared" si="8"/>
        <v/>
      </c>
      <c r="CV52" s="80" t="str">
        <f t="shared" si="8"/>
        <v/>
      </c>
      <c r="CW52" s="80" t="str">
        <f t="shared" si="8"/>
        <v/>
      </c>
      <c r="CX52" s="80" t="str">
        <f t="shared" si="8"/>
        <v/>
      </c>
      <c r="CY52" s="80" t="str">
        <f t="shared" si="8"/>
        <v/>
      </c>
      <c r="CZ52" s="80" t="str">
        <f t="shared" si="8"/>
        <v/>
      </c>
      <c r="DA52" s="80" t="str">
        <f t="shared" si="8"/>
        <v/>
      </c>
      <c r="DB52" s="80" t="str">
        <f t="shared" si="8"/>
        <v/>
      </c>
      <c r="DC52" s="80" t="str">
        <f t="shared" si="8"/>
        <v/>
      </c>
      <c r="DD52" s="80" t="str">
        <f t="shared" si="8"/>
        <v/>
      </c>
      <c r="DE52" s="80" t="str">
        <f t="shared" si="8"/>
        <v/>
      </c>
      <c r="DF52" s="80" t="str">
        <f t="shared" si="8"/>
        <v/>
      </c>
      <c r="DG52" s="80" t="str">
        <f t="shared" si="8"/>
        <v/>
      </c>
      <c r="DH52" s="80" t="str">
        <f t="shared" si="8"/>
        <v/>
      </c>
      <c r="DI52" s="80" t="str">
        <f t="shared" si="8"/>
        <v/>
      </c>
      <c r="DJ52" s="80" t="str">
        <f t="shared" si="8"/>
        <v/>
      </c>
      <c r="DK52" s="80" t="str">
        <f t="shared" si="8"/>
        <v/>
      </c>
      <c r="DL52" s="80" t="str">
        <f t="shared" si="8"/>
        <v/>
      </c>
      <c r="DM52" s="80" t="str">
        <f t="shared" si="8"/>
        <v/>
      </c>
      <c r="DN52" s="80" t="str">
        <f t="shared" si="8"/>
        <v/>
      </c>
      <c r="DO52" s="80" t="str">
        <f t="shared" si="8"/>
        <v/>
      </c>
      <c r="DP52" s="80" t="str">
        <f t="shared" si="8"/>
        <v/>
      </c>
      <c r="DQ52" s="80" t="str">
        <f t="shared" si="8"/>
        <v/>
      </c>
      <c r="DR52" s="80" t="str">
        <f t="shared" si="8"/>
        <v/>
      </c>
      <c r="DS52" s="80" t="str">
        <f t="shared" si="8"/>
        <v/>
      </c>
      <c r="DT52" s="80" t="str">
        <f t="shared" si="8"/>
        <v/>
      </c>
      <c r="DU52" s="80" t="str">
        <f t="shared" si="8"/>
        <v/>
      </c>
      <c r="DV52" s="80" t="str">
        <f t="shared" si="8"/>
        <v/>
      </c>
      <c r="DW52" s="80" t="str">
        <f t="shared" si="8"/>
        <v/>
      </c>
      <c r="DX52" s="80" t="str">
        <f t="shared" si="8"/>
        <v/>
      </c>
      <c r="DY52" s="80" t="str">
        <f t="shared" si="8"/>
        <v/>
      </c>
      <c r="DZ52" s="80" t="str">
        <f t="shared" si="8"/>
        <v/>
      </c>
      <c r="EA52" s="80" t="str">
        <f t="shared" si="8"/>
        <v/>
      </c>
      <c r="EB52" s="80" t="str">
        <f t="shared" si="8"/>
        <v/>
      </c>
      <c r="EC52" s="80" t="str">
        <f t="shared" si="8"/>
        <v/>
      </c>
      <c r="ED52" s="80" t="str">
        <f t="shared" si="8"/>
        <v/>
      </c>
      <c r="EE52" s="80" t="str">
        <f t="shared" si="8"/>
        <v/>
      </c>
      <c r="EF52" s="80" t="str">
        <f t="shared" si="8"/>
        <v/>
      </c>
      <c r="EG52" s="80" t="str">
        <f t="shared" si="8"/>
        <v/>
      </c>
      <c r="EH52" s="80" t="str">
        <f t="shared" si="8"/>
        <v/>
      </c>
      <c r="EI52" s="80" t="str">
        <f t="shared" si="8"/>
        <v/>
      </c>
      <c r="EJ52" s="80" t="str">
        <f t="shared" si="8"/>
        <v/>
      </c>
      <c r="EK52" s="80" t="str">
        <f t="shared" si="8"/>
        <v/>
      </c>
      <c r="EL52" s="80" t="str">
        <f t="shared" si="8"/>
        <v/>
      </c>
      <c r="EM52" s="80" t="str">
        <f t="shared" si="8"/>
        <v/>
      </c>
      <c r="EN52" s="80" t="str">
        <f t="shared" si="8"/>
        <v/>
      </c>
      <c r="EO52" s="80" t="str">
        <f t="shared" si="8"/>
        <v/>
      </c>
      <c r="EP52" s="80" t="str">
        <f t="shared" si="8"/>
        <v/>
      </c>
      <c r="EQ52" s="80" t="str">
        <f t="shared" si="8"/>
        <v/>
      </c>
      <c r="ER52" s="80" t="str">
        <f t="shared" si="8"/>
        <v/>
      </c>
      <c r="ES52" s="80" t="str">
        <f t="shared" si="8"/>
        <v/>
      </c>
      <c r="ET52" s="80" t="str">
        <f t="shared" si="8"/>
        <v/>
      </c>
      <c r="EU52" s="80" t="str">
        <f t="shared" si="8"/>
        <v/>
      </c>
      <c r="EV52" s="80" t="str">
        <f t="shared" si="8"/>
        <v/>
      </c>
      <c r="EW52" s="80" t="str">
        <f t="shared" si="8"/>
        <v/>
      </c>
      <c r="EX52" s="80" t="str">
        <f t="shared" si="8"/>
        <v/>
      </c>
      <c r="EY52" s="80" t="str">
        <f t="shared" si="8"/>
        <v/>
      </c>
      <c r="EZ52" s="80" t="str">
        <f t="shared" si="8"/>
        <v/>
      </c>
      <c r="FA52" s="80" t="str">
        <f t="shared" si="8"/>
        <v/>
      </c>
      <c r="FB52" s="80" t="str">
        <f t="shared" si="8"/>
        <v/>
      </c>
      <c r="FC52" s="80" t="str">
        <f t="shared" si="8"/>
        <v/>
      </c>
      <c r="FD52" s="80" t="str">
        <f t="shared" si="8"/>
        <v/>
      </c>
      <c r="FE52" s="80" t="str">
        <f t="shared" si="8"/>
        <v/>
      </c>
      <c r="FF52" s="80" t="str">
        <f t="shared" si="8"/>
        <v/>
      </c>
      <c r="FG52" s="80" t="str">
        <f t="shared" si="8"/>
        <v/>
      </c>
      <c r="FH52" s="80" t="str">
        <f t="shared" si="8"/>
        <v/>
      </c>
      <c r="FI52" s="80" t="str">
        <f t="shared" si="8"/>
        <v/>
      </c>
      <c r="FJ52" s="80" t="str">
        <f t="shared" si="8"/>
        <v/>
      </c>
      <c r="FK52" s="80" t="str">
        <f t="shared" si="8"/>
        <v/>
      </c>
      <c r="FL52" s="80" t="str">
        <f t="shared" si="8"/>
        <v/>
      </c>
      <c r="FM52" s="80" t="str">
        <f t="shared" si="8"/>
        <v/>
      </c>
      <c r="FN52" s="80" t="str">
        <f t="shared" si="8"/>
        <v/>
      </c>
      <c r="FO52" s="80" t="str">
        <f t="shared" si="8"/>
        <v/>
      </c>
      <c r="FP52" s="80" t="str">
        <f t="shared" si="8"/>
        <v/>
      </c>
      <c r="FQ52" s="80" t="str">
        <f t="shared" si="8"/>
        <v/>
      </c>
      <c r="FR52" s="80" t="str">
        <f t="shared" si="8"/>
        <v/>
      </c>
      <c r="FS52" s="80" t="str">
        <f t="shared" si="8"/>
        <v/>
      </c>
      <c r="FT52" s="80" t="str">
        <f t="shared" si="8"/>
        <v/>
      </c>
      <c r="FU52" s="80" t="str">
        <f t="shared" si="8"/>
        <v/>
      </c>
      <c r="FV52" s="80" t="str">
        <f t="shared" si="8"/>
        <v/>
      </c>
      <c r="FW52" s="80" t="str">
        <f t="shared" si="8"/>
        <v/>
      </c>
      <c r="FX52" s="80" t="str">
        <f t="shared" si="8"/>
        <v/>
      </c>
      <c r="FY52" s="80" t="str">
        <f t="shared" si="8"/>
        <v/>
      </c>
      <c r="FZ52" s="80" t="str">
        <f t="shared" si="8"/>
        <v/>
      </c>
      <c r="GA52" s="80" t="str">
        <f t="shared" si="8"/>
        <v/>
      </c>
      <c r="GB52" s="80" t="str">
        <f t="shared" si="8"/>
        <v/>
      </c>
      <c r="GC52" s="80" t="str">
        <f t="shared" si="8"/>
        <v/>
      </c>
      <c r="GD52" s="80" t="str">
        <f t="shared" si="8"/>
        <v/>
      </c>
      <c r="GE52" s="80" t="str">
        <f t="shared" si="8"/>
        <v/>
      </c>
      <c r="GF52" s="80" t="str">
        <f t="shared" si="8"/>
        <v/>
      </c>
      <c r="GG52" s="80" t="str">
        <f t="shared" si="8"/>
        <v/>
      </c>
      <c r="GH52" s="80" t="str">
        <f t="shared" si="8"/>
        <v/>
      </c>
      <c r="GI52" s="80" t="str">
        <f t="shared" si="8"/>
        <v/>
      </c>
      <c r="GJ52" s="80" t="str">
        <f t="shared" si="8"/>
        <v/>
      </c>
      <c r="GK52" s="80" t="str">
        <f t="shared" si="8"/>
        <v/>
      </c>
      <c r="GL52" s="80" t="str">
        <f t="shared" si="8"/>
        <v/>
      </c>
      <c r="GM52" s="80" t="str">
        <f t="shared" si="8"/>
        <v/>
      </c>
      <c r="GN52" s="80" t="str">
        <f t="shared" si="8"/>
        <v/>
      </c>
      <c r="GO52" s="80" t="str">
        <f t="shared" si="8"/>
        <v/>
      </c>
      <c r="GP52" s="80" t="str">
        <f t="shared" si="8"/>
        <v/>
      </c>
      <c r="GQ52" s="80" t="str">
        <f t="shared" si="8"/>
        <v/>
      </c>
      <c r="GR52" s="80" t="str">
        <f t="shared" si="8"/>
        <v/>
      </c>
      <c r="GS52" s="80" t="str">
        <f t="shared" si="8"/>
        <v/>
      </c>
      <c r="GT52" s="80" t="str">
        <f t="shared" si="8"/>
        <v/>
      </c>
      <c r="GU52" s="80" t="str">
        <f t="shared" si="8"/>
        <v/>
      </c>
      <c r="GV52" s="80" t="str">
        <f t="shared" si="8"/>
        <v/>
      </c>
      <c r="GW52" s="80" t="str">
        <f t="shared" si="8"/>
        <v/>
      </c>
      <c r="GX52" s="80" t="str">
        <f t="shared" si="8"/>
        <v/>
      </c>
      <c r="GY52" s="80" t="str">
        <f t="shared" si="8"/>
        <v/>
      </c>
      <c r="GZ52" s="80" t="str">
        <f t="shared" si="8"/>
        <v/>
      </c>
      <c r="HA52" s="80" t="str">
        <f t="shared" si="8"/>
        <v/>
      </c>
      <c r="HB52" s="80" t="str">
        <f t="shared" si="8"/>
        <v/>
      </c>
      <c r="HC52" s="80" t="str">
        <f t="shared" si="8"/>
        <v/>
      </c>
      <c r="HD52" s="80" t="str">
        <f t="shared" si="8"/>
        <v/>
      </c>
      <c r="HE52" s="80" t="str">
        <f t="shared" si="8"/>
        <v/>
      </c>
      <c r="HF52" s="80" t="str">
        <f t="shared" si="8"/>
        <v/>
      </c>
      <c r="HG52" s="80" t="str">
        <f t="shared" si="8"/>
        <v/>
      </c>
      <c r="HH52" s="80" t="str">
        <f t="shared" si="8"/>
        <v/>
      </c>
      <c r="HI52" s="80" t="str">
        <f t="shared" si="8"/>
        <v/>
      </c>
      <c r="HJ52" s="80" t="str">
        <f t="shared" si="8"/>
        <v/>
      </c>
      <c r="HK52" s="80" t="str">
        <f t="shared" si="8"/>
        <v/>
      </c>
      <c r="HL52" s="80" t="str">
        <f t="shared" si="8"/>
        <v/>
      </c>
      <c r="HM52" s="80" t="str">
        <f t="shared" si="8"/>
        <v/>
      </c>
      <c r="HN52" s="80" t="str">
        <f t="shared" si="8"/>
        <v/>
      </c>
      <c r="HO52" s="80" t="str">
        <f t="shared" si="8"/>
        <v/>
      </c>
      <c r="HP52" s="80" t="str">
        <f t="shared" si="8"/>
        <v/>
      </c>
      <c r="HQ52" s="80" t="str">
        <f t="shared" si="8"/>
        <v/>
      </c>
      <c r="HR52" s="80" t="str">
        <f t="shared" si="8"/>
        <v/>
      </c>
      <c r="HS52" s="80" t="str">
        <f t="shared" si="8"/>
        <v/>
      </c>
      <c r="HT52" s="80" t="str">
        <f t="shared" si="8"/>
        <v/>
      </c>
      <c r="HU52" s="80" t="str">
        <f t="shared" si="8"/>
        <v/>
      </c>
      <c r="HV52" s="80" t="str">
        <f t="shared" si="8"/>
        <v/>
      </c>
      <c r="HW52" s="80" t="str">
        <f t="shared" si="8"/>
        <v/>
      </c>
      <c r="HX52" s="80" t="str">
        <f t="shared" si="8"/>
        <v/>
      </c>
      <c r="HY52" s="80" t="str">
        <f t="shared" si="8"/>
        <v/>
      </c>
      <c r="HZ52" s="80" t="str">
        <f t="shared" si="8"/>
        <v/>
      </c>
      <c r="IA52" s="80" t="str">
        <f t="shared" si="8"/>
        <v/>
      </c>
      <c r="IB52" s="80" t="str">
        <f t="shared" si="8"/>
        <v/>
      </c>
      <c r="IC52" s="80" t="str">
        <f t="shared" si="8"/>
        <v/>
      </c>
      <c r="ID52" s="80" t="str">
        <f t="shared" si="8"/>
        <v/>
      </c>
      <c r="IE52" s="80" t="str">
        <f t="shared" si="8"/>
        <v/>
      </c>
      <c r="IF52" s="80" t="str">
        <f t="shared" si="8"/>
        <v/>
      </c>
      <c r="IG52" s="80" t="str">
        <f t="shared" si="8"/>
        <v/>
      </c>
      <c r="IH52" s="80" t="str">
        <f t="shared" si="8"/>
        <v/>
      </c>
      <c r="II52" s="80" t="str">
        <f t="shared" si="8"/>
        <v/>
      </c>
      <c r="IJ52" s="80" t="str">
        <f t="shared" si="8"/>
        <v/>
      </c>
      <c r="IK52" s="80" t="str">
        <f t="shared" si="8"/>
        <v/>
      </c>
      <c r="IL52" s="80" t="str">
        <f t="shared" si="8"/>
        <v/>
      </c>
      <c r="IM52" s="80" t="str">
        <f t="shared" si="8"/>
        <v/>
      </c>
      <c r="IN52" s="80" t="str">
        <f t="shared" si="8"/>
        <v/>
      </c>
      <c r="IO52" s="80" t="str">
        <f t="shared" si="8"/>
        <v/>
      </c>
      <c r="IP52" s="80" t="str">
        <f t="shared" si="8"/>
        <v/>
      </c>
      <c r="IQ52" s="80" t="str">
        <f t="shared" si="8"/>
        <v/>
      </c>
      <c r="IR52" s="80" t="str">
        <f t="shared" si="8"/>
        <v/>
      </c>
      <c r="IS52" s="80" t="str">
        <f t="shared" si="8"/>
        <v/>
      </c>
      <c r="IT52" s="80" t="str">
        <f t="shared" si="8"/>
        <v/>
      </c>
      <c r="IU52" s="80" t="str">
        <f t="shared" si="8"/>
        <v/>
      </c>
      <c r="IV52" s="80" t="str">
        <f t="shared" si="8"/>
        <v/>
      </c>
      <c r="IW52" s="80" t="str">
        <f t="shared" si="8"/>
        <v/>
      </c>
      <c r="IX52" s="80" t="str">
        <f t="shared" si="8"/>
        <v/>
      </c>
      <c r="IY52" s="80" t="str">
        <f t="shared" si="8"/>
        <v/>
      </c>
      <c r="IZ52" s="80" t="str">
        <f t="shared" si="8"/>
        <v/>
      </c>
      <c r="JA52" s="80" t="str">
        <f t="shared" si="8"/>
        <v/>
      </c>
      <c r="JB52" s="80" t="str">
        <f t="shared" si="8"/>
        <v/>
      </c>
      <c r="JC52" s="80" t="str">
        <f t="shared" si="8"/>
        <v/>
      </c>
      <c r="JD52" s="80" t="str">
        <f t="shared" si="8"/>
        <v/>
      </c>
      <c r="JE52" s="80" t="str">
        <f t="shared" ref="JE52:SC52" si="9">IF(JC50=JD50,"",JD50)</f>
        <v/>
      </c>
      <c r="JF52" s="80" t="str">
        <f t="shared" si="9"/>
        <v/>
      </c>
      <c r="JG52" s="80" t="str">
        <f t="shared" si="9"/>
        <v/>
      </c>
      <c r="JH52" s="80" t="str">
        <f t="shared" si="9"/>
        <v/>
      </c>
      <c r="JI52" s="80" t="str">
        <f t="shared" si="9"/>
        <v/>
      </c>
      <c r="JJ52" s="80" t="str">
        <f t="shared" si="9"/>
        <v/>
      </c>
      <c r="JK52" s="80" t="str">
        <f t="shared" si="9"/>
        <v/>
      </c>
      <c r="JL52" s="80" t="str">
        <f t="shared" si="9"/>
        <v/>
      </c>
      <c r="JM52" s="80" t="str">
        <f t="shared" si="9"/>
        <v/>
      </c>
      <c r="JN52" s="80" t="str">
        <f t="shared" si="9"/>
        <v/>
      </c>
      <c r="JO52" s="80" t="str">
        <f t="shared" si="9"/>
        <v/>
      </c>
      <c r="JP52" s="80" t="str">
        <f t="shared" si="9"/>
        <v/>
      </c>
      <c r="JQ52" s="80" t="str">
        <f t="shared" si="9"/>
        <v/>
      </c>
      <c r="JR52" s="80" t="str">
        <f t="shared" si="9"/>
        <v/>
      </c>
      <c r="JS52" s="80" t="str">
        <f t="shared" si="9"/>
        <v/>
      </c>
      <c r="JT52" s="80" t="str">
        <f t="shared" si="9"/>
        <v/>
      </c>
      <c r="JU52" s="80" t="str">
        <f t="shared" si="9"/>
        <v/>
      </c>
      <c r="JV52" s="80" t="str">
        <f t="shared" si="9"/>
        <v/>
      </c>
      <c r="JW52" s="80" t="str">
        <f t="shared" si="9"/>
        <v/>
      </c>
      <c r="JX52" s="80" t="str">
        <f t="shared" si="9"/>
        <v/>
      </c>
      <c r="JY52" s="80" t="str">
        <f t="shared" si="9"/>
        <v/>
      </c>
      <c r="JZ52" s="80" t="str">
        <f t="shared" si="9"/>
        <v/>
      </c>
      <c r="KA52" s="80" t="str">
        <f t="shared" si="9"/>
        <v/>
      </c>
      <c r="KB52" s="80" t="str">
        <f t="shared" si="9"/>
        <v/>
      </c>
      <c r="KC52" s="80" t="str">
        <f t="shared" si="9"/>
        <v/>
      </c>
      <c r="KD52" s="80" t="str">
        <f t="shared" si="9"/>
        <v/>
      </c>
      <c r="KE52" s="80" t="str">
        <f t="shared" si="9"/>
        <v/>
      </c>
      <c r="KF52" s="80" t="str">
        <f t="shared" si="9"/>
        <v/>
      </c>
      <c r="KG52" s="80" t="str">
        <f t="shared" si="9"/>
        <v/>
      </c>
      <c r="KH52" s="80" t="str">
        <f t="shared" si="9"/>
        <v/>
      </c>
      <c r="KI52" s="80" t="str">
        <f t="shared" si="9"/>
        <v/>
      </c>
      <c r="KJ52" s="80" t="str">
        <f t="shared" si="9"/>
        <v/>
      </c>
      <c r="KK52" s="80" t="str">
        <f t="shared" si="9"/>
        <v/>
      </c>
      <c r="KL52" s="80" t="str">
        <f t="shared" si="9"/>
        <v/>
      </c>
      <c r="KM52" s="80" t="str">
        <f t="shared" si="9"/>
        <v/>
      </c>
      <c r="KN52" s="80" t="str">
        <f t="shared" si="9"/>
        <v/>
      </c>
      <c r="KO52" s="80" t="str">
        <f t="shared" si="9"/>
        <v/>
      </c>
      <c r="KP52" s="80" t="str">
        <f t="shared" si="9"/>
        <v/>
      </c>
      <c r="KQ52" s="80" t="str">
        <f t="shared" si="9"/>
        <v/>
      </c>
      <c r="KR52" s="80" t="str">
        <f t="shared" si="9"/>
        <v/>
      </c>
      <c r="KS52" s="80" t="str">
        <f t="shared" si="9"/>
        <v/>
      </c>
      <c r="KT52" s="80" t="str">
        <f t="shared" si="9"/>
        <v/>
      </c>
      <c r="KU52" s="80" t="str">
        <f t="shared" si="9"/>
        <v/>
      </c>
      <c r="KV52" s="80" t="str">
        <f t="shared" si="9"/>
        <v/>
      </c>
      <c r="KW52" s="80" t="str">
        <f t="shared" si="9"/>
        <v/>
      </c>
      <c r="KX52" s="80" t="str">
        <f t="shared" si="9"/>
        <v/>
      </c>
      <c r="KY52" s="80" t="str">
        <f t="shared" si="9"/>
        <v/>
      </c>
      <c r="KZ52" s="80" t="str">
        <f t="shared" si="9"/>
        <v/>
      </c>
      <c r="LA52" s="80" t="str">
        <f t="shared" si="9"/>
        <v/>
      </c>
      <c r="LB52" s="80" t="str">
        <f t="shared" si="9"/>
        <v/>
      </c>
      <c r="LC52" s="80" t="str">
        <f t="shared" si="9"/>
        <v/>
      </c>
      <c r="LD52" s="80" t="str">
        <f t="shared" si="9"/>
        <v/>
      </c>
      <c r="LE52" s="80" t="str">
        <f t="shared" si="9"/>
        <v/>
      </c>
      <c r="LF52" s="80" t="str">
        <f t="shared" si="9"/>
        <v/>
      </c>
      <c r="LG52" s="80" t="str">
        <f t="shared" si="9"/>
        <v/>
      </c>
      <c r="LH52" s="80" t="str">
        <f t="shared" si="9"/>
        <v/>
      </c>
      <c r="LI52" s="80" t="str">
        <f t="shared" si="9"/>
        <v/>
      </c>
      <c r="LJ52" s="80" t="str">
        <f t="shared" si="9"/>
        <v/>
      </c>
      <c r="LK52" s="80" t="str">
        <f t="shared" si="9"/>
        <v/>
      </c>
      <c r="LL52" s="80" t="str">
        <f t="shared" si="9"/>
        <v/>
      </c>
      <c r="LM52" s="80" t="str">
        <f t="shared" si="9"/>
        <v/>
      </c>
      <c r="LN52" s="80" t="str">
        <f t="shared" si="9"/>
        <v/>
      </c>
      <c r="LO52" s="80" t="str">
        <f t="shared" si="9"/>
        <v/>
      </c>
      <c r="LP52" s="80" t="str">
        <f t="shared" si="9"/>
        <v/>
      </c>
      <c r="LQ52" s="80" t="str">
        <f t="shared" si="9"/>
        <v/>
      </c>
      <c r="LR52" s="80" t="str">
        <f t="shared" si="9"/>
        <v/>
      </c>
      <c r="LS52" s="80" t="str">
        <f t="shared" si="9"/>
        <v/>
      </c>
      <c r="LT52" s="80" t="str">
        <f t="shared" si="9"/>
        <v/>
      </c>
      <c r="LU52" s="80" t="str">
        <f t="shared" si="9"/>
        <v/>
      </c>
      <c r="LV52" s="80" t="str">
        <f t="shared" si="9"/>
        <v/>
      </c>
      <c r="LW52" s="80" t="str">
        <f t="shared" si="9"/>
        <v/>
      </c>
      <c r="LX52" s="80" t="str">
        <f t="shared" si="9"/>
        <v/>
      </c>
      <c r="LY52" s="80" t="str">
        <f t="shared" si="9"/>
        <v/>
      </c>
      <c r="LZ52" s="80" t="str">
        <f t="shared" si="9"/>
        <v/>
      </c>
      <c r="MA52" s="80" t="str">
        <f t="shared" si="9"/>
        <v/>
      </c>
      <c r="MB52" s="80" t="str">
        <f t="shared" si="9"/>
        <v/>
      </c>
      <c r="MC52" s="80" t="str">
        <f t="shared" si="9"/>
        <v/>
      </c>
      <c r="MD52" s="80" t="str">
        <f t="shared" si="9"/>
        <v/>
      </c>
      <c r="ME52" s="80" t="str">
        <f t="shared" si="9"/>
        <v/>
      </c>
      <c r="MF52" s="80" t="str">
        <f t="shared" si="9"/>
        <v/>
      </c>
      <c r="MG52" s="80" t="str">
        <f t="shared" si="9"/>
        <v/>
      </c>
      <c r="MH52" s="80" t="str">
        <f t="shared" si="9"/>
        <v/>
      </c>
      <c r="MI52" s="80" t="str">
        <f t="shared" si="9"/>
        <v/>
      </c>
      <c r="MJ52" s="80" t="str">
        <f t="shared" si="9"/>
        <v/>
      </c>
      <c r="MK52" s="80" t="str">
        <f t="shared" si="9"/>
        <v/>
      </c>
      <c r="ML52" s="80" t="str">
        <f t="shared" si="9"/>
        <v/>
      </c>
      <c r="MM52" s="80" t="str">
        <f t="shared" si="9"/>
        <v/>
      </c>
      <c r="MN52" s="80" t="str">
        <f t="shared" si="9"/>
        <v/>
      </c>
      <c r="MO52" s="80" t="str">
        <f t="shared" si="9"/>
        <v/>
      </c>
      <c r="MP52" s="80" t="str">
        <f t="shared" si="9"/>
        <v/>
      </c>
      <c r="MQ52" s="80" t="str">
        <f t="shared" si="9"/>
        <v/>
      </c>
      <c r="MR52" s="80" t="str">
        <f t="shared" si="9"/>
        <v/>
      </c>
      <c r="MS52" s="80" t="str">
        <f t="shared" si="9"/>
        <v/>
      </c>
      <c r="MT52" s="80" t="str">
        <f t="shared" si="9"/>
        <v/>
      </c>
      <c r="MU52" s="80" t="str">
        <f t="shared" si="9"/>
        <v/>
      </c>
      <c r="MV52" s="80" t="str">
        <f t="shared" si="9"/>
        <v/>
      </c>
      <c r="MW52" s="80" t="str">
        <f t="shared" si="9"/>
        <v/>
      </c>
      <c r="MX52" s="80" t="str">
        <f t="shared" si="9"/>
        <v/>
      </c>
      <c r="MY52" s="80" t="str">
        <f t="shared" si="9"/>
        <v/>
      </c>
      <c r="MZ52" s="80" t="str">
        <f t="shared" si="9"/>
        <v/>
      </c>
      <c r="NA52" s="80" t="str">
        <f t="shared" si="9"/>
        <v/>
      </c>
      <c r="NB52" s="80" t="str">
        <f t="shared" si="9"/>
        <v/>
      </c>
      <c r="NC52" s="80" t="str">
        <f t="shared" si="9"/>
        <v/>
      </c>
      <c r="ND52" s="80" t="str">
        <f t="shared" si="9"/>
        <v/>
      </c>
      <c r="NE52" s="80" t="str">
        <f t="shared" si="9"/>
        <v/>
      </c>
      <c r="NF52" s="80" t="str">
        <f t="shared" si="9"/>
        <v/>
      </c>
      <c r="NG52" s="80" t="str">
        <f t="shared" si="9"/>
        <v/>
      </c>
      <c r="NH52" s="80" t="str">
        <f t="shared" si="9"/>
        <v/>
      </c>
      <c r="NI52" s="80" t="str">
        <f t="shared" si="9"/>
        <v/>
      </c>
      <c r="NJ52" s="80" t="str">
        <f t="shared" si="9"/>
        <v/>
      </c>
      <c r="NK52" s="80" t="str">
        <f t="shared" si="9"/>
        <v/>
      </c>
      <c r="NL52" s="80" t="str">
        <f t="shared" si="9"/>
        <v/>
      </c>
      <c r="NM52" s="80" t="str">
        <f t="shared" si="9"/>
        <v/>
      </c>
      <c r="NN52" s="80" t="str">
        <f t="shared" si="9"/>
        <v/>
      </c>
      <c r="NO52" s="80" t="str">
        <f t="shared" si="9"/>
        <v/>
      </c>
      <c r="NP52" s="80" t="str">
        <f t="shared" si="9"/>
        <v/>
      </c>
      <c r="NQ52" s="80" t="str">
        <f t="shared" si="9"/>
        <v/>
      </c>
      <c r="NR52" s="80" t="str">
        <f t="shared" si="9"/>
        <v/>
      </c>
      <c r="NS52" s="80" t="str">
        <f t="shared" si="9"/>
        <v/>
      </c>
      <c r="NT52" s="80" t="str">
        <f t="shared" si="9"/>
        <v/>
      </c>
      <c r="NU52" s="80" t="str">
        <f t="shared" si="9"/>
        <v/>
      </c>
      <c r="NV52" s="80" t="str">
        <f t="shared" si="9"/>
        <v/>
      </c>
      <c r="NW52" s="80" t="str">
        <f t="shared" si="9"/>
        <v/>
      </c>
      <c r="NX52" s="80" t="str">
        <f t="shared" si="9"/>
        <v/>
      </c>
      <c r="NY52" s="80" t="str">
        <f t="shared" si="9"/>
        <v/>
      </c>
      <c r="NZ52" s="80" t="str">
        <f t="shared" si="9"/>
        <v/>
      </c>
      <c r="OA52" s="80" t="str">
        <f t="shared" si="9"/>
        <v/>
      </c>
      <c r="OB52" s="80" t="str">
        <f t="shared" si="9"/>
        <v/>
      </c>
      <c r="OC52" s="80" t="str">
        <f t="shared" si="9"/>
        <v/>
      </c>
      <c r="OD52" s="80" t="str">
        <f t="shared" si="9"/>
        <v/>
      </c>
      <c r="OE52" s="80" t="str">
        <f t="shared" si="9"/>
        <v/>
      </c>
      <c r="OF52" s="80" t="str">
        <f t="shared" si="9"/>
        <v/>
      </c>
      <c r="OG52" s="80" t="str">
        <f t="shared" si="9"/>
        <v/>
      </c>
      <c r="OH52" s="80" t="str">
        <f t="shared" si="9"/>
        <v/>
      </c>
      <c r="OI52" s="80" t="str">
        <f t="shared" si="9"/>
        <v/>
      </c>
      <c r="OJ52" s="80" t="str">
        <f t="shared" si="9"/>
        <v/>
      </c>
      <c r="OK52" s="80" t="str">
        <f t="shared" si="9"/>
        <v/>
      </c>
      <c r="OL52" s="80" t="str">
        <f t="shared" si="9"/>
        <v/>
      </c>
      <c r="OM52" s="80" t="str">
        <f t="shared" si="9"/>
        <v/>
      </c>
      <c r="ON52" s="80" t="str">
        <f t="shared" si="9"/>
        <v/>
      </c>
      <c r="OO52" s="80" t="str">
        <f t="shared" si="9"/>
        <v/>
      </c>
      <c r="OP52" s="80" t="str">
        <f t="shared" si="9"/>
        <v/>
      </c>
      <c r="OQ52" s="80" t="str">
        <f t="shared" si="9"/>
        <v/>
      </c>
      <c r="OR52" s="80" t="str">
        <f t="shared" si="9"/>
        <v/>
      </c>
      <c r="OS52" s="80" t="str">
        <f t="shared" si="9"/>
        <v/>
      </c>
      <c r="OT52" s="80" t="str">
        <f t="shared" si="9"/>
        <v/>
      </c>
      <c r="OU52" s="80" t="str">
        <f t="shared" si="9"/>
        <v/>
      </c>
      <c r="OV52" s="80" t="str">
        <f t="shared" si="9"/>
        <v/>
      </c>
      <c r="OW52" s="80" t="str">
        <f t="shared" si="9"/>
        <v/>
      </c>
      <c r="OX52" s="80" t="str">
        <f t="shared" si="9"/>
        <v/>
      </c>
      <c r="OY52" s="80" t="str">
        <f t="shared" si="9"/>
        <v/>
      </c>
      <c r="OZ52" s="80" t="str">
        <f t="shared" si="9"/>
        <v/>
      </c>
      <c r="PA52" s="80" t="str">
        <f t="shared" si="9"/>
        <v/>
      </c>
      <c r="PB52" s="80" t="str">
        <f t="shared" si="9"/>
        <v/>
      </c>
      <c r="PC52" s="80" t="str">
        <f t="shared" si="9"/>
        <v/>
      </c>
      <c r="PD52" s="80" t="str">
        <f t="shared" si="9"/>
        <v/>
      </c>
      <c r="PE52" s="80" t="str">
        <f t="shared" si="9"/>
        <v/>
      </c>
      <c r="PF52" s="80" t="str">
        <f t="shared" si="9"/>
        <v/>
      </c>
      <c r="PG52" s="80" t="str">
        <f t="shared" si="9"/>
        <v/>
      </c>
      <c r="PH52" s="80" t="str">
        <f t="shared" si="9"/>
        <v/>
      </c>
      <c r="PI52" s="80" t="str">
        <f t="shared" si="9"/>
        <v/>
      </c>
      <c r="PJ52" s="80" t="str">
        <f t="shared" si="9"/>
        <v/>
      </c>
      <c r="PK52" s="80" t="str">
        <f t="shared" si="9"/>
        <v/>
      </c>
      <c r="PL52" s="80" t="str">
        <f t="shared" si="9"/>
        <v/>
      </c>
      <c r="PM52" s="80" t="str">
        <f t="shared" si="9"/>
        <v/>
      </c>
      <c r="PN52" s="80" t="str">
        <f t="shared" si="9"/>
        <v/>
      </c>
      <c r="PO52" s="80" t="str">
        <f t="shared" si="9"/>
        <v/>
      </c>
      <c r="PP52" s="80" t="str">
        <f t="shared" si="9"/>
        <v/>
      </c>
      <c r="PQ52" s="80" t="str">
        <f t="shared" si="9"/>
        <v/>
      </c>
      <c r="PR52" s="80" t="str">
        <f t="shared" si="9"/>
        <v/>
      </c>
      <c r="PS52" s="80" t="str">
        <f t="shared" si="9"/>
        <v/>
      </c>
      <c r="PT52" s="80" t="str">
        <f t="shared" si="9"/>
        <v/>
      </c>
      <c r="PU52" s="80" t="str">
        <f t="shared" si="9"/>
        <v/>
      </c>
      <c r="PV52" s="80" t="str">
        <f t="shared" si="9"/>
        <v/>
      </c>
      <c r="PW52" s="80" t="str">
        <f t="shared" si="9"/>
        <v/>
      </c>
      <c r="PX52" s="80" t="str">
        <f t="shared" si="9"/>
        <v/>
      </c>
      <c r="PY52" s="80" t="str">
        <f t="shared" si="9"/>
        <v/>
      </c>
      <c r="PZ52" s="80" t="str">
        <f t="shared" si="9"/>
        <v/>
      </c>
      <c r="QA52" s="80" t="str">
        <f t="shared" si="9"/>
        <v/>
      </c>
      <c r="QB52" s="80" t="str">
        <f t="shared" si="9"/>
        <v/>
      </c>
      <c r="QC52" s="80" t="str">
        <f t="shared" si="9"/>
        <v/>
      </c>
      <c r="QD52" s="80" t="str">
        <f t="shared" si="9"/>
        <v/>
      </c>
      <c r="QE52" s="80" t="str">
        <f t="shared" si="9"/>
        <v/>
      </c>
      <c r="QF52" s="80" t="str">
        <f t="shared" si="9"/>
        <v/>
      </c>
      <c r="QG52" s="80" t="str">
        <f t="shared" si="9"/>
        <v/>
      </c>
      <c r="QH52" s="80" t="str">
        <f t="shared" si="9"/>
        <v/>
      </c>
      <c r="QI52" s="80" t="str">
        <f t="shared" si="9"/>
        <v/>
      </c>
      <c r="QJ52" s="80" t="str">
        <f t="shared" si="9"/>
        <v/>
      </c>
      <c r="QK52" s="80" t="str">
        <f t="shared" si="9"/>
        <v/>
      </c>
      <c r="QL52" s="80" t="str">
        <f t="shared" si="9"/>
        <v/>
      </c>
      <c r="QM52" s="80" t="str">
        <f t="shared" si="9"/>
        <v/>
      </c>
      <c r="QN52" s="80" t="str">
        <f t="shared" si="9"/>
        <v/>
      </c>
      <c r="QO52" s="80" t="str">
        <f t="shared" si="9"/>
        <v/>
      </c>
      <c r="QP52" s="80" t="str">
        <f t="shared" si="9"/>
        <v/>
      </c>
      <c r="QQ52" s="80" t="str">
        <f t="shared" si="9"/>
        <v/>
      </c>
      <c r="QR52" s="80" t="str">
        <f t="shared" si="9"/>
        <v/>
      </c>
      <c r="QS52" s="80" t="str">
        <f t="shared" si="9"/>
        <v/>
      </c>
      <c r="QT52" s="80" t="str">
        <f t="shared" si="9"/>
        <v/>
      </c>
      <c r="QU52" s="80" t="str">
        <f t="shared" si="9"/>
        <v/>
      </c>
      <c r="QV52" s="80" t="str">
        <f t="shared" si="9"/>
        <v/>
      </c>
      <c r="QW52" s="80" t="str">
        <f t="shared" si="9"/>
        <v/>
      </c>
      <c r="QX52" s="80" t="str">
        <f t="shared" si="9"/>
        <v/>
      </c>
      <c r="QY52" s="80" t="str">
        <f t="shared" si="9"/>
        <v/>
      </c>
      <c r="QZ52" s="80" t="str">
        <f t="shared" si="9"/>
        <v/>
      </c>
      <c r="RA52" s="80" t="str">
        <f t="shared" si="9"/>
        <v/>
      </c>
      <c r="RB52" s="80" t="str">
        <f t="shared" si="9"/>
        <v/>
      </c>
      <c r="RC52" s="80" t="str">
        <f t="shared" si="9"/>
        <v/>
      </c>
      <c r="RD52" s="80" t="str">
        <f t="shared" si="9"/>
        <v/>
      </c>
      <c r="RE52" s="80" t="str">
        <f t="shared" si="9"/>
        <v/>
      </c>
      <c r="RF52" s="80" t="str">
        <f t="shared" si="9"/>
        <v/>
      </c>
      <c r="RG52" s="80" t="str">
        <f t="shared" si="9"/>
        <v/>
      </c>
      <c r="RH52" s="80" t="str">
        <f t="shared" si="9"/>
        <v/>
      </c>
      <c r="RI52" s="80" t="str">
        <f t="shared" si="9"/>
        <v/>
      </c>
      <c r="RJ52" s="80" t="str">
        <f t="shared" si="9"/>
        <v/>
      </c>
      <c r="RK52" s="80" t="str">
        <f t="shared" si="9"/>
        <v/>
      </c>
      <c r="RL52" s="80" t="str">
        <f t="shared" si="9"/>
        <v/>
      </c>
      <c r="RM52" s="80" t="str">
        <f t="shared" si="9"/>
        <v/>
      </c>
      <c r="RN52" s="80" t="str">
        <f t="shared" si="9"/>
        <v/>
      </c>
      <c r="RO52" s="80" t="str">
        <f t="shared" si="9"/>
        <v/>
      </c>
      <c r="RP52" s="80" t="str">
        <f t="shared" si="9"/>
        <v/>
      </c>
      <c r="RQ52" s="80" t="str">
        <f t="shared" si="9"/>
        <v/>
      </c>
      <c r="RR52" s="80" t="str">
        <f t="shared" si="9"/>
        <v/>
      </c>
      <c r="RS52" s="80" t="str">
        <f t="shared" si="9"/>
        <v/>
      </c>
      <c r="RT52" s="80" t="str">
        <f t="shared" si="9"/>
        <v/>
      </c>
      <c r="RU52" s="80" t="str">
        <f t="shared" si="9"/>
        <v/>
      </c>
      <c r="RV52" s="80" t="str">
        <f t="shared" si="9"/>
        <v/>
      </c>
      <c r="RW52" s="80" t="str">
        <f t="shared" si="9"/>
        <v/>
      </c>
      <c r="RX52" s="80" t="str">
        <f t="shared" si="9"/>
        <v/>
      </c>
      <c r="RY52" s="80" t="str">
        <f t="shared" si="9"/>
        <v/>
      </c>
      <c r="RZ52" s="80" t="str">
        <f t="shared" si="9"/>
        <v/>
      </c>
      <c r="SA52" s="80" t="str">
        <f t="shared" si="9"/>
        <v/>
      </c>
      <c r="SB52" s="80" t="str">
        <f t="shared" si="9"/>
        <v/>
      </c>
      <c r="SC52" s="80" t="str">
        <f t="shared" si="9"/>
        <v/>
      </c>
    </row>
    <row r="53" spans="1:497" ht="27" hidden="1" customHeight="1" x14ac:dyDescent="0.15">
      <c r="A53" s="79"/>
      <c r="B53" s="79"/>
      <c r="C53" s="79"/>
      <c r="D53" s="79"/>
      <c r="E53" s="79"/>
      <c r="F53" s="94"/>
      <c r="G53" s="94"/>
      <c r="H53" s="80" t="str">
        <f t="shared" ref="H53:BS53" si="10">IF($D$4="","", WEEKNUM(H9)-WEEKNUM($H$9)+1)</f>
        <v/>
      </c>
      <c r="I53" s="80" t="str">
        <f t="shared" si="10"/>
        <v/>
      </c>
      <c r="J53" s="80" t="str">
        <f t="shared" si="10"/>
        <v/>
      </c>
      <c r="K53" s="80" t="str">
        <f t="shared" si="10"/>
        <v/>
      </c>
      <c r="L53" s="80" t="str">
        <f t="shared" si="10"/>
        <v/>
      </c>
      <c r="M53" s="80" t="str">
        <f t="shared" si="10"/>
        <v/>
      </c>
      <c r="N53" s="80" t="str">
        <f t="shared" si="10"/>
        <v/>
      </c>
      <c r="O53" s="80" t="str">
        <f t="shared" si="10"/>
        <v/>
      </c>
      <c r="P53" s="80" t="str">
        <f t="shared" si="10"/>
        <v/>
      </c>
      <c r="Q53" s="80" t="str">
        <f t="shared" si="10"/>
        <v/>
      </c>
      <c r="R53" s="80" t="str">
        <f t="shared" si="10"/>
        <v/>
      </c>
      <c r="S53" s="80" t="str">
        <f t="shared" si="10"/>
        <v/>
      </c>
      <c r="T53" s="80" t="str">
        <f t="shared" si="10"/>
        <v/>
      </c>
      <c r="U53" s="80" t="str">
        <f t="shared" si="10"/>
        <v/>
      </c>
      <c r="V53" s="80" t="str">
        <f t="shared" si="10"/>
        <v/>
      </c>
      <c r="W53" s="80" t="str">
        <f t="shared" si="10"/>
        <v/>
      </c>
      <c r="X53" s="80" t="str">
        <f t="shared" si="10"/>
        <v/>
      </c>
      <c r="Y53" s="80" t="str">
        <f t="shared" si="10"/>
        <v/>
      </c>
      <c r="Z53" s="80" t="str">
        <f t="shared" si="10"/>
        <v/>
      </c>
      <c r="AA53" s="80" t="str">
        <f t="shared" si="10"/>
        <v/>
      </c>
      <c r="AB53" s="80" t="str">
        <f t="shared" si="10"/>
        <v/>
      </c>
      <c r="AC53" s="80" t="str">
        <f t="shared" si="10"/>
        <v/>
      </c>
      <c r="AD53" s="80" t="str">
        <f t="shared" si="10"/>
        <v/>
      </c>
      <c r="AE53" s="80" t="str">
        <f t="shared" si="10"/>
        <v/>
      </c>
      <c r="AF53" s="80" t="str">
        <f t="shared" si="10"/>
        <v/>
      </c>
      <c r="AG53" s="80" t="str">
        <f t="shared" si="10"/>
        <v/>
      </c>
      <c r="AH53" s="80" t="str">
        <f t="shared" si="10"/>
        <v/>
      </c>
      <c r="AI53" s="80" t="str">
        <f t="shared" si="10"/>
        <v/>
      </c>
      <c r="AJ53" s="80" t="str">
        <f t="shared" si="10"/>
        <v/>
      </c>
      <c r="AK53" s="80" t="str">
        <f t="shared" si="10"/>
        <v/>
      </c>
      <c r="AL53" s="80" t="str">
        <f t="shared" si="10"/>
        <v/>
      </c>
      <c r="AM53" s="80" t="str">
        <f t="shared" si="10"/>
        <v/>
      </c>
      <c r="AN53" s="80" t="str">
        <f t="shared" si="10"/>
        <v/>
      </c>
      <c r="AO53" s="80" t="str">
        <f t="shared" si="10"/>
        <v/>
      </c>
      <c r="AP53" s="80" t="str">
        <f t="shared" si="10"/>
        <v/>
      </c>
      <c r="AQ53" s="80" t="str">
        <f t="shared" si="10"/>
        <v/>
      </c>
      <c r="AR53" s="80" t="str">
        <f t="shared" si="10"/>
        <v/>
      </c>
      <c r="AS53" s="80" t="str">
        <f t="shared" si="10"/>
        <v/>
      </c>
      <c r="AT53" s="80" t="str">
        <f t="shared" si="10"/>
        <v/>
      </c>
      <c r="AU53" s="80" t="str">
        <f t="shared" si="10"/>
        <v/>
      </c>
      <c r="AV53" s="80" t="str">
        <f t="shared" si="10"/>
        <v/>
      </c>
      <c r="AW53" s="80" t="str">
        <f t="shared" si="10"/>
        <v/>
      </c>
      <c r="AX53" s="80" t="str">
        <f t="shared" si="10"/>
        <v/>
      </c>
      <c r="AY53" s="80" t="str">
        <f t="shared" si="10"/>
        <v/>
      </c>
      <c r="AZ53" s="80" t="str">
        <f t="shared" si="10"/>
        <v/>
      </c>
      <c r="BA53" s="80" t="str">
        <f t="shared" si="10"/>
        <v/>
      </c>
      <c r="BB53" s="80" t="str">
        <f t="shared" si="10"/>
        <v/>
      </c>
      <c r="BC53" s="80" t="str">
        <f t="shared" si="10"/>
        <v/>
      </c>
      <c r="BD53" s="80" t="str">
        <f t="shared" si="10"/>
        <v/>
      </c>
      <c r="BE53" s="80" t="str">
        <f t="shared" si="10"/>
        <v/>
      </c>
      <c r="BF53" s="80" t="str">
        <f t="shared" si="10"/>
        <v/>
      </c>
      <c r="BG53" s="80" t="str">
        <f t="shared" si="10"/>
        <v/>
      </c>
      <c r="BH53" s="80" t="str">
        <f t="shared" si="10"/>
        <v/>
      </c>
      <c r="BI53" s="80" t="str">
        <f t="shared" si="10"/>
        <v/>
      </c>
      <c r="BJ53" s="80" t="str">
        <f t="shared" si="10"/>
        <v/>
      </c>
      <c r="BK53" s="80" t="str">
        <f t="shared" si="10"/>
        <v/>
      </c>
      <c r="BL53" s="80" t="str">
        <f t="shared" si="10"/>
        <v/>
      </c>
      <c r="BM53" s="80" t="str">
        <f t="shared" si="10"/>
        <v/>
      </c>
      <c r="BN53" s="80" t="str">
        <f t="shared" si="10"/>
        <v/>
      </c>
      <c r="BO53" s="80" t="str">
        <f t="shared" si="10"/>
        <v/>
      </c>
      <c r="BP53" s="80" t="str">
        <f t="shared" si="10"/>
        <v/>
      </c>
      <c r="BQ53" s="80" t="str">
        <f t="shared" si="10"/>
        <v/>
      </c>
      <c r="BR53" s="80" t="str">
        <f t="shared" si="10"/>
        <v/>
      </c>
      <c r="BS53" s="80" t="str">
        <f t="shared" si="10"/>
        <v/>
      </c>
      <c r="BT53" s="80" t="str">
        <f t="shared" ref="BT53:EE53" si="11">IF($D$4="","", WEEKNUM(BT9)-WEEKNUM($H$9)+1)</f>
        <v/>
      </c>
      <c r="BU53" s="80" t="str">
        <f t="shared" si="11"/>
        <v/>
      </c>
      <c r="BV53" s="80" t="str">
        <f t="shared" si="11"/>
        <v/>
      </c>
      <c r="BW53" s="80" t="str">
        <f t="shared" si="11"/>
        <v/>
      </c>
      <c r="BX53" s="80" t="str">
        <f t="shared" si="11"/>
        <v/>
      </c>
      <c r="BY53" s="80" t="str">
        <f t="shared" si="11"/>
        <v/>
      </c>
      <c r="BZ53" s="80" t="str">
        <f t="shared" si="11"/>
        <v/>
      </c>
      <c r="CA53" s="80" t="str">
        <f t="shared" si="11"/>
        <v/>
      </c>
      <c r="CB53" s="80" t="str">
        <f t="shared" si="11"/>
        <v/>
      </c>
      <c r="CC53" s="80" t="str">
        <f t="shared" si="11"/>
        <v/>
      </c>
      <c r="CD53" s="80" t="str">
        <f t="shared" si="11"/>
        <v/>
      </c>
      <c r="CE53" s="80" t="str">
        <f t="shared" si="11"/>
        <v/>
      </c>
      <c r="CF53" s="80" t="str">
        <f t="shared" si="11"/>
        <v/>
      </c>
      <c r="CG53" s="80" t="str">
        <f t="shared" si="11"/>
        <v/>
      </c>
      <c r="CH53" s="80" t="str">
        <f t="shared" si="11"/>
        <v/>
      </c>
      <c r="CI53" s="80" t="str">
        <f t="shared" si="11"/>
        <v/>
      </c>
      <c r="CJ53" s="80" t="str">
        <f t="shared" si="11"/>
        <v/>
      </c>
      <c r="CK53" s="80" t="str">
        <f t="shared" si="11"/>
        <v/>
      </c>
      <c r="CL53" s="80" t="str">
        <f t="shared" si="11"/>
        <v/>
      </c>
      <c r="CM53" s="80" t="str">
        <f t="shared" si="11"/>
        <v/>
      </c>
      <c r="CN53" s="80" t="str">
        <f t="shared" si="11"/>
        <v/>
      </c>
      <c r="CO53" s="80" t="str">
        <f t="shared" si="11"/>
        <v/>
      </c>
      <c r="CP53" s="80" t="str">
        <f t="shared" si="11"/>
        <v/>
      </c>
      <c r="CQ53" s="80" t="str">
        <f t="shared" si="11"/>
        <v/>
      </c>
      <c r="CR53" s="80" t="str">
        <f t="shared" si="11"/>
        <v/>
      </c>
      <c r="CS53" s="80" t="str">
        <f t="shared" si="11"/>
        <v/>
      </c>
      <c r="CT53" s="80" t="str">
        <f t="shared" si="11"/>
        <v/>
      </c>
      <c r="CU53" s="80" t="str">
        <f t="shared" si="11"/>
        <v/>
      </c>
      <c r="CV53" s="80" t="str">
        <f t="shared" si="11"/>
        <v/>
      </c>
      <c r="CW53" s="80" t="str">
        <f t="shared" si="11"/>
        <v/>
      </c>
      <c r="CX53" s="80" t="str">
        <f t="shared" si="11"/>
        <v/>
      </c>
      <c r="CY53" s="80" t="str">
        <f t="shared" si="11"/>
        <v/>
      </c>
      <c r="CZ53" s="80" t="str">
        <f t="shared" si="11"/>
        <v/>
      </c>
      <c r="DA53" s="80" t="str">
        <f t="shared" si="11"/>
        <v/>
      </c>
      <c r="DB53" s="80" t="str">
        <f t="shared" si="11"/>
        <v/>
      </c>
      <c r="DC53" s="80" t="str">
        <f t="shared" si="11"/>
        <v/>
      </c>
      <c r="DD53" s="80" t="str">
        <f t="shared" si="11"/>
        <v/>
      </c>
      <c r="DE53" s="80" t="str">
        <f t="shared" si="11"/>
        <v/>
      </c>
      <c r="DF53" s="80" t="str">
        <f t="shared" si="11"/>
        <v/>
      </c>
      <c r="DG53" s="80" t="str">
        <f t="shared" si="11"/>
        <v/>
      </c>
      <c r="DH53" s="80" t="str">
        <f t="shared" si="11"/>
        <v/>
      </c>
      <c r="DI53" s="80" t="str">
        <f t="shared" si="11"/>
        <v/>
      </c>
      <c r="DJ53" s="80" t="str">
        <f t="shared" si="11"/>
        <v/>
      </c>
      <c r="DK53" s="80" t="str">
        <f t="shared" si="11"/>
        <v/>
      </c>
      <c r="DL53" s="80" t="str">
        <f t="shared" si="11"/>
        <v/>
      </c>
      <c r="DM53" s="80" t="str">
        <f t="shared" si="11"/>
        <v/>
      </c>
      <c r="DN53" s="80" t="str">
        <f t="shared" si="11"/>
        <v/>
      </c>
      <c r="DO53" s="80" t="str">
        <f t="shared" si="11"/>
        <v/>
      </c>
      <c r="DP53" s="80" t="str">
        <f t="shared" si="11"/>
        <v/>
      </c>
      <c r="DQ53" s="80" t="str">
        <f t="shared" si="11"/>
        <v/>
      </c>
      <c r="DR53" s="80" t="str">
        <f t="shared" si="11"/>
        <v/>
      </c>
      <c r="DS53" s="80" t="str">
        <f t="shared" si="11"/>
        <v/>
      </c>
      <c r="DT53" s="80" t="str">
        <f t="shared" si="11"/>
        <v/>
      </c>
      <c r="DU53" s="80" t="str">
        <f t="shared" si="11"/>
        <v/>
      </c>
      <c r="DV53" s="80" t="str">
        <f t="shared" si="11"/>
        <v/>
      </c>
      <c r="DW53" s="80" t="str">
        <f t="shared" si="11"/>
        <v/>
      </c>
      <c r="DX53" s="80" t="str">
        <f t="shared" si="11"/>
        <v/>
      </c>
      <c r="DY53" s="80" t="str">
        <f t="shared" si="11"/>
        <v/>
      </c>
      <c r="DZ53" s="80" t="str">
        <f t="shared" si="11"/>
        <v/>
      </c>
      <c r="EA53" s="80" t="str">
        <f t="shared" si="11"/>
        <v/>
      </c>
      <c r="EB53" s="80" t="str">
        <f t="shared" si="11"/>
        <v/>
      </c>
      <c r="EC53" s="80" t="str">
        <f t="shared" si="11"/>
        <v/>
      </c>
      <c r="ED53" s="80" t="str">
        <f t="shared" si="11"/>
        <v/>
      </c>
      <c r="EE53" s="80" t="str">
        <f t="shared" si="11"/>
        <v/>
      </c>
      <c r="EF53" s="80" t="str">
        <f t="shared" ref="EF53:GQ53" si="12">IF($D$4="","", WEEKNUM(EF9)-WEEKNUM($H$9)+1)</f>
        <v/>
      </c>
      <c r="EG53" s="80" t="str">
        <f t="shared" si="12"/>
        <v/>
      </c>
      <c r="EH53" s="80" t="str">
        <f t="shared" si="12"/>
        <v/>
      </c>
      <c r="EI53" s="80" t="str">
        <f t="shared" si="12"/>
        <v/>
      </c>
      <c r="EJ53" s="80" t="str">
        <f t="shared" si="12"/>
        <v/>
      </c>
      <c r="EK53" s="80" t="str">
        <f t="shared" si="12"/>
        <v/>
      </c>
      <c r="EL53" s="80" t="str">
        <f t="shared" si="12"/>
        <v/>
      </c>
      <c r="EM53" s="80" t="str">
        <f t="shared" si="12"/>
        <v/>
      </c>
      <c r="EN53" s="80" t="str">
        <f t="shared" si="12"/>
        <v/>
      </c>
      <c r="EO53" s="80" t="str">
        <f t="shared" si="12"/>
        <v/>
      </c>
      <c r="EP53" s="80" t="str">
        <f t="shared" si="12"/>
        <v/>
      </c>
      <c r="EQ53" s="80" t="str">
        <f t="shared" si="12"/>
        <v/>
      </c>
      <c r="ER53" s="80" t="str">
        <f t="shared" si="12"/>
        <v/>
      </c>
      <c r="ES53" s="80" t="str">
        <f t="shared" si="12"/>
        <v/>
      </c>
      <c r="ET53" s="80" t="str">
        <f t="shared" si="12"/>
        <v/>
      </c>
      <c r="EU53" s="80" t="str">
        <f t="shared" si="12"/>
        <v/>
      </c>
      <c r="EV53" s="80" t="str">
        <f t="shared" si="12"/>
        <v/>
      </c>
      <c r="EW53" s="80" t="str">
        <f t="shared" si="12"/>
        <v/>
      </c>
      <c r="EX53" s="80" t="str">
        <f t="shared" si="12"/>
        <v/>
      </c>
      <c r="EY53" s="80" t="str">
        <f t="shared" si="12"/>
        <v/>
      </c>
      <c r="EZ53" s="80" t="str">
        <f t="shared" si="12"/>
        <v/>
      </c>
      <c r="FA53" s="80" t="str">
        <f t="shared" si="12"/>
        <v/>
      </c>
      <c r="FB53" s="80" t="str">
        <f t="shared" si="12"/>
        <v/>
      </c>
      <c r="FC53" s="80" t="str">
        <f t="shared" si="12"/>
        <v/>
      </c>
      <c r="FD53" s="80" t="str">
        <f t="shared" si="12"/>
        <v/>
      </c>
      <c r="FE53" s="80" t="str">
        <f t="shared" si="12"/>
        <v/>
      </c>
      <c r="FF53" s="80" t="str">
        <f t="shared" si="12"/>
        <v/>
      </c>
      <c r="FG53" s="80" t="str">
        <f t="shared" si="12"/>
        <v/>
      </c>
      <c r="FH53" s="80" t="str">
        <f t="shared" si="12"/>
        <v/>
      </c>
      <c r="FI53" s="80" t="str">
        <f t="shared" si="12"/>
        <v/>
      </c>
      <c r="FJ53" s="80" t="str">
        <f t="shared" si="12"/>
        <v/>
      </c>
      <c r="FK53" s="80" t="str">
        <f t="shared" si="12"/>
        <v/>
      </c>
      <c r="FL53" s="80" t="str">
        <f t="shared" si="12"/>
        <v/>
      </c>
      <c r="FM53" s="80" t="str">
        <f t="shared" si="12"/>
        <v/>
      </c>
      <c r="FN53" s="80" t="str">
        <f t="shared" si="12"/>
        <v/>
      </c>
      <c r="FO53" s="80" t="str">
        <f t="shared" si="12"/>
        <v/>
      </c>
      <c r="FP53" s="80" t="str">
        <f t="shared" si="12"/>
        <v/>
      </c>
      <c r="FQ53" s="80" t="str">
        <f t="shared" si="12"/>
        <v/>
      </c>
      <c r="FR53" s="80" t="str">
        <f t="shared" si="12"/>
        <v/>
      </c>
      <c r="FS53" s="80" t="str">
        <f t="shared" si="12"/>
        <v/>
      </c>
      <c r="FT53" s="80" t="str">
        <f t="shared" si="12"/>
        <v/>
      </c>
      <c r="FU53" s="80" t="str">
        <f t="shared" si="12"/>
        <v/>
      </c>
      <c r="FV53" s="80" t="str">
        <f t="shared" si="12"/>
        <v/>
      </c>
      <c r="FW53" s="80" t="str">
        <f t="shared" si="12"/>
        <v/>
      </c>
      <c r="FX53" s="80" t="str">
        <f t="shared" si="12"/>
        <v/>
      </c>
      <c r="FY53" s="80" t="str">
        <f t="shared" si="12"/>
        <v/>
      </c>
      <c r="FZ53" s="80" t="str">
        <f t="shared" si="12"/>
        <v/>
      </c>
      <c r="GA53" s="80" t="str">
        <f t="shared" si="12"/>
        <v/>
      </c>
      <c r="GB53" s="80" t="str">
        <f t="shared" si="12"/>
        <v/>
      </c>
      <c r="GC53" s="80" t="str">
        <f t="shared" si="12"/>
        <v/>
      </c>
      <c r="GD53" s="80" t="str">
        <f t="shared" si="12"/>
        <v/>
      </c>
      <c r="GE53" s="80" t="str">
        <f t="shared" si="12"/>
        <v/>
      </c>
      <c r="GF53" s="80" t="str">
        <f t="shared" si="12"/>
        <v/>
      </c>
      <c r="GG53" s="80" t="str">
        <f t="shared" si="12"/>
        <v/>
      </c>
      <c r="GH53" s="80" t="str">
        <f t="shared" si="12"/>
        <v/>
      </c>
      <c r="GI53" s="80" t="str">
        <f t="shared" si="12"/>
        <v/>
      </c>
      <c r="GJ53" s="80" t="str">
        <f t="shared" si="12"/>
        <v/>
      </c>
      <c r="GK53" s="80" t="str">
        <f t="shared" si="12"/>
        <v/>
      </c>
      <c r="GL53" s="80" t="str">
        <f t="shared" si="12"/>
        <v/>
      </c>
      <c r="GM53" s="80" t="str">
        <f t="shared" si="12"/>
        <v/>
      </c>
      <c r="GN53" s="80" t="str">
        <f t="shared" si="12"/>
        <v/>
      </c>
      <c r="GO53" s="80" t="str">
        <f t="shared" si="12"/>
        <v/>
      </c>
      <c r="GP53" s="80" t="str">
        <f t="shared" si="12"/>
        <v/>
      </c>
      <c r="GQ53" s="80" t="str">
        <f t="shared" si="12"/>
        <v/>
      </c>
      <c r="GR53" s="80" t="str">
        <f t="shared" ref="GR53:JC53" si="13">IF($D$4="","", WEEKNUM(GR9)-WEEKNUM($H$9)+1)</f>
        <v/>
      </c>
      <c r="GS53" s="80" t="str">
        <f t="shared" si="13"/>
        <v/>
      </c>
      <c r="GT53" s="80" t="str">
        <f t="shared" si="13"/>
        <v/>
      </c>
      <c r="GU53" s="80" t="str">
        <f t="shared" si="13"/>
        <v/>
      </c>
      <c r="GV53" s="80" t="str">
        <f t="shared" si="13"/>
        <v/>
      </c>
      <c r="GW53" s="80" t="str">
        <f t="shared" si="13"/>
        <v/>
      </c>
      <c r="GX53" s="80" t="str">
        <f t="shared" si="13"/>
        <v/>
      </c>
      <c r="GY53" s="80" t="str">
        <f t="shared" si="13"/>
        <v/>
      </c>
      <c r="GZ53" s="80" t="str">
        <f t="shared" si="13"/>
        <v/>
      </c>
      <c r="HA53" s="80" t="str">
        <f t="shared" si="13"/>
        <v/>
      </c>
      <c r="HB53" s="80" t="str">
        <f t="shared" si="13"/>
        <v/>
      </c>
      <c r="HC53" s="80" t="str">
        <f t="shared" si="13"/>
        <v/>
      </c>
      <c r="HD53" s="80" t="str">
        <f t="shared" si="13"/>
        <v/>
      </c>
      <c r="HE53" s="80" t="str">
        <f t="shared" si="13"/>
        <v/>
      </c>
      <c r="HF53" s="80" t="str">
        <f t="shared" si="13"/>
        <v/>
      </c>
      <c r="HG53" s="80" t="str">
        <f t="shared" si="13"/>
        <v/>
      </c>
      <c r="HH53" s="80" t="str">
        <f t="shared" si="13"/>
        <v/>
      </c>
      <c r="HI53" s="80" t="str">
        <f t="shared" si="13"/>
        <v/>
      </c>
      <c r="HJ53" s="80" t="str">
        <f t="shared" si="13"/>
        <v/>
      </c>
      <c r="HK53" s="80" t="str">
        <f t="shared" si="13"/>
        <v/>
      </c>
      <c r="HL53" s="80" t="str">
        <f t="shared" si="13"/>
        <v/>
      </c>
      <c r="HM53" s="80" t="str">
        <f t="shared" si="13"/>
        <v/>
      </c>
      <c r="HN53" s="80" t="str">
        <f t="shared" si="13"/>
        <v/>
      </c>
      <c r="HO53" s="80" t="str">
        <f t="shared" si="13"/>
        <v/>
      </c>
      <c r="HP53" s="80" t="str">
        <f t="shared" si="13"/>
        <v/>
      </c>
      <c r="HQ53" s="80" t="str">
        <f t="shared" si="13"/>
        <v/>
      </c>
      <c r="HR53" s="80" t="str">
        <f t="shared" si="13"/>
        <v/>
      </c>
      <c r="HS53" s="80" t="str">
        <f t="shared" si="13"/>
        <v/>
      </c>
      <c r="HT53" s="80" t="str">
        <f t="shared" si="13"/>
        <v/>
      </c>
      <c r="HU53" s="80" t="str">
        <f t="shared" si="13"/>
        <v/>
      </c>
      <c r="HV53" s="80" t="str">
        <f t="shared" si="13"/>
        <v/>
      </c>
      <c r="HW53" s="80" t="str">
        <f t="shared" si="13"/>
        <v/>
      </c>
      <c r="HX53" s="80" t="str">
        <f t="shared" si="13"/>
        <v/>
      </c>
      <c r="HY53" s="80" t="str">
        <f t="shared" si="13"/>
        <v/>
      </c>
      <c r="HZ53" s="80" t="str">
        <f t="shared" si="13"/>
        <v/>
      </c>
      <c r="IA53" s="80" t="str">
        <f t="shared" si="13"/>
        <v/>
      </c>
      <c r="IB53" s="80" t="str">
        <f t="shared" si="13"/>
        <v/>
      </c>
      <c r="IC53" s="80" t="str">
        <f t="shared" si="13"/>
        <v/>
      </c>
      <c r="ID53" s="80" t="str">
        <f t="shared" si="13"/>
        <v/>
      </c>
      <c r="IE53" s="80" t="str">
        <f t="shared" si="13"/>
        <v/>
      </c>
      <c r="IF53" s="80" t="str">
        <f t="shared" si="13"/>
        <v/>
      </c>
      <c r="IG53" s="80" t="str">
        <f t="shared" si="13"/>
        <v/>
      </c>
      <c r="IH53" s="80" t="str">
        <f t="shared" si="13"/>
        <v/>
      </c>
      <c r="II53" s="80" t="str">
        <f t="shared" si="13"/>
        <v/>
      </c>
      <c r="IJ53" s="80" t="str">
        <f t="shared" si="13"/>
        <v/>
      </c>
      <c r="IK53" s="80" t="str">
        <f t="shared" si="13"/>
        <v/>
      </c>
      <c r="IL53" s="80" t="str">
        <f t="shared" si="13"/>
        <v/>
      </c>
      <c r="IM53" s="80" t="str">
        <f t="shared" si="13"/>
        <v/>
      </c>
      <c r="IN53" s="80" t="str">
        <f t="shared" si="13"/>
        <v/>
      </c>
      <c r="IO53" s="80" t="str">
        <f t="shared" si="13"/>
        <v/>
      </c>
      <c r="IP53" s="80" t="str">
        <f t="shared" si="13"/>
        <v/>
      </c>
      <c r="IQ53" s="80" t="str">
        <f t="shared" si="13"/>
        <v/>
      </c>
      <c r="IR53" s="80" t="str">
        <f t="shared" si="13"/>
        <v/>
      </c>
      <c r="IS53" s="80" t="str">
        <f t="shared" si="13"/>
        <v/>
      </c>
      <c r="IT53" s="80" t="str">
        <f t="shared" si="13"/>
        <v/>
      </c>
      <c r="IU53" s="80" t="str">
        <f t="shared" si="13"/>
        <v/>
      </c>
      <c r="IV53" s="80" t="str">
        <f t="shared" si="13"/>
        <v/>
      </c>
      <c r="IW53" s="80" t="str">
        <f t="shared" si="13"/>
        <v/>
      </c>
      <c r="IX53" s="80" t="str">
        <f t="shared" si="13"/>
        <v/>
      </c>
      <c r="IY53" s="80" t="str">
        <f t="shared" si="13"/>
        <v/>
      </c>
      <c r="IZ53" s="80" t="str">
        <f t="shared" si="13"/>
        <v/>
      </c>
      <c r="JA53" s="80" t="str">
        <f t="shared" si="13"/>
        <v/>
      </c>
      <c r="JB53" s="80" t="str">
        <f t="shared" si="13"/>
        <v/>
      </c>
      <c r="JC53" s="80" t="str">
        <f t="shared" si="13"/>
        <v/>
      </c>
      <c r="JD53" s="80" t="str">
        <f t="shared" ref="JD53:LO53" si="14">IF($D$4="","", WEEKNUM(JD9)-WEEKNUM($H$9)+1)</f>
        <v/>
      </c>
      <c r="JE53" s="80" t="str">
        <f t="shared" si="14"/>
        <v/>
      </c>
      <c r="JF53" s="80" t="str">
        <f t="shared" si="14"/>
        <v/>
      </c>
      <c r="JG53" s="80" t="str">
        <f t="shared" si="14"/>
        <v/>
      </c>
      <c r="JH53" s="80" t="str">
        <f t="shared" si="14"/>
        <v/>
      </c>
      <c r="JI53" s="80" t="str">
        <f t="shared" si="14"/>
        <v/>
      </c>
      <c r="JJ53" s="80" t="str">
        <f t="shared" si="14"/>
        <v/>
      </c>
      <c r="JK53" s="80" t="str">
        <f t="shared" si="14"/>
        <v/>
      </c>
      <c r="JL53" s="80" t="str">
        <f t="shared" si="14"/>
        <v/>
      </c>
      <c r="JM53" s="80" t="str">
        <f t="shared" si="14"/>
        <v/>
      </c>
      <c r="JN53" s="80" t="str">
        <f t="shared" si="14"/>
        <v/>
      </c>
      <c r="JO53" s="80" t="str">
        <f t="shared" si="14"/>
        <v/>
      </c>
      <c r="JP53" s="80" t="str">
        <f t="shared" si="14"/>
        <v/>
      </c>
      <c r="JQ53" s="80" t="str">
        <f t="shared" si="14"/>
        <v/>
      </c>
      <c r="JR53" s="80" t="str">
        <f t="shared" si="14"/>
        <v/>
      </c>
      <c r="JS53" s="80" t="str">
        <f t="shared" si="14"/>
        <v/>
      </c>
      <c r="JT53" s="80" t="str">
        <f t="shared" si="14"/>
        <v/>
      </c>
      <c r="JU53" s="80" t="str">
        <f t="shared" si="14"/>
        <v/>
      </c>
      <c r="JV53" s="80" t="str">
        <f t="shared" si="14"/>
        <v/>
      </c>
      <c r="JW53" s="80" t="str">
        <f t="shared" si="14"/>
        <v/>
      </c>
      <c r="JX53" s="80" t="str">
        <f t="shared" si="14"/>
        <v/>
      </c>
      <c r="JY53" s="80" t="str">
        <f t="shared" si="14"/>
        <v/>
      </c>
      <c r="JZ53" s="80" t="str">
        <f t="shared" si="14"/>
        <v/>
      </c>
      <c r="KA53" s="80" t="str">
        <f t="shared" si="14"/>
        <v/>
      </c>
      <c r="KB53" s="80" t="str">
        <f t="shared" si="14"/>
        <v/>
      </c>
      <c r="KC53" s="80" t="str">
        <f t="shared" si="14"/>
        <v/>
      </c>
      <c r="KD53" s="80" t="str">
        <f t="shared" si="14"/>
        <v/>
      </c>
      <c r="KE53" s="80" t="str">
        <f t="shared" si="14"/>
        <v/>
      </c>
      <c r="KF53" s="80" t="str">
        <f t="shared" si="14"/>
        <v/>
      </c>
      <c r="KG53" s="80" t="str">
        <f t="shared" si="14"/>
        <v/>
      </c>
      <c r="KH53" s="80" t="str">
        <f t="shared" si="14"/>
        <v/>
      </c>
      <c r="KI53" s="80" t="str">
        <f t="shared" si="14"/>
        <v/>
      </c>
      <c r="KJ53" s="80" t="str">
        <f t="shared" si="14"/>
        <v/>
      </c>
      <c r="KK53" s="80" t="str">
        <f t="shared" si="14"/>
        <v/>
      </c>
      <c r="KL53" s="80" t="str">
        <f t="shared" si="14"/>
        <v/>
      </c>
      <c r="KM53" s="80" t="str">
        <f t="shared" si="14"/>
        <v/>
      </c>
      <c r="KN53" s="80" t="str">
        <f t="shared" si="14"/>
        <v/>
      </c>
      <c r="KO53" s="80" t="str">
        <f t="shared" si="14"/>
        <v/>
      </c>
      <c r="KP53" s="80" t="str">
        <f t="shared" si="14"/>
        <v/>
      </c>
      <c r="KQ53" s="80" t="str">
        <f t="shared" si="14"/>
        <v/>
      </c>
      <c r="KR53" s="80" t="str">
        <f t="shared" si="14"/>
        <v/>
      </c>
      <c r="KS53" s="80" t="str">
        <f t="shared" si="14"/>
        <v/>
      </c>
      <c r="KT53" s="80" t="str">
        <f t="shared" si="14"/>
        <v/>
      </c>
      <c r="KU53" s="80" t="str">
        <f t="shared" si="14"/>
        <v/>
      </c>
      <c r="KV53" s="80" t="str">
        <f t="shared" si="14"/>
        <v/>
      </c>
      <c r="KW53" s="80" t="str">
        <f t="shared" si="14"/>
        <v/>
      </c>
      <c r="KX53" s="80" t="str">
        <f t="shared" si="14"/>
        <v/>
      </c>
      <c r="KY53" s="80" t="str">
        <f t="shared" si="14"/>
        <v/>
      </c>
      <c r="KZ53" s="80" t="str">
        <f t="shared" si="14"/>
        <v/>
      </c>
      <c r="LA53" s="80" t="str">
        <f t="shared" si="14"/>
        <v/>
      </c>
      <c r="LB53" s="80" t="str">
        <f t="shared" si="14"/>
        <v/>
      </c>
      <c r="LC53" s="80" t="str">
        <f t="shared" si="14"/>
        <v/>
      </c>
      <c r="LD53" s="80" t="str">
        <f t="shared" si="14"/>
        <v/>
      </c>
      <c r="LE53" s="80" t="str">
        <f t="shared" si="14"/>
        <v/>
      </c>
      <c r="LF53" s="80" t="str">
        <f t="shared" si="14"/>
        <v/>
      </c>
      <c r="LG53" s="80" t="str">
        <f t="shared" si="14"/>
        <v/>
      </c>
      <c r="LH53" s="80" t="str">
        <f t="shared" si="14"/>
        <v/>
      </c>
      <c r="LI53" s="80" t="str">
        <f t="shared" si="14"/>
        <v/>
      </c>
      <c r="LJ53" s="80" t="str">
        <f t="shared" si="14"/>
        <v/>
      </c>
      <c r="LK53" s="80" t="str">
        <f t="shared" si="14"/>
        <v/>
      </c>
      <c r="LL53" s="80" t="str">
        <f t="shared" si="14"/>
        <v/>
      </c>
      <c r="LM53" s="80" t="str">
        <f t="shared" si="14"/>
        <v/>
      </c>
      <c r="LN53" s="80" t="str">
        <f t="shared" si="14"/>
        <v/>
      </c>
      <c r="LO53" s="80" t="str">
        <f t="shared" si="14"/>
        <v/>
      </c>
      <c r="LP53" s="80" t="str">
        <f t="shared" ref="LP53:OA53" si="15">IF($D$4="","", WEEKNUM(LP9)-WEEKNUM($H$9)+1)</f>
        <v/>
      </c>
      <c r="LQ53" s="80" t="str">
        <f t="shared" si="15"/>
        <v/>
      </c>
      <c r="LR53" s="80" t="str">
        <f t="shared" si="15"/>
        <v/>
      </c>
      <c r="LS53" s="80" t="str">
        <f t="shared" si="15"/>
        <v/>
      </c>
      <c r="LT53" s="80" t="str">
        <f t="shared" si="15"/>
        <v/>
      </c>
      <c r="LU53" s="80" t="str">
        <f t="shared" si="15"/>
        <v/>
      </c>
      <c r="LV53" s="80" t="str">
        <f t="shared" si="15"/>
        <v/>
      </c>
      <c r="LW53" s="80" t="str">
        <f t="shared" si="15"/>
        <v/>
      </c>
      <c r="LX53" s="80" t="str">
        <f t="shared" si="15"/>
        <v/>
      </c>
      <c r="LY53" s="80" t="str">
        <f t="shared" si="15"/>
        <v/>
      </c>
      <c r="LZ53" s="80" t="str">
        <f t="shared" si="15"/>
        <v/>
      </c>
      <c r="MA53" s="80" t="str">
        <f t="shared" si="15"/>
        <v/>
      </c>
      <c r="MB53" s="80" t="str">
        <f t="shared" si="15"/>
        <v/>
      </c>
      <c r="MC53" s="80" t="str">
        <f t="shared" si="15"/>
        <v/>
      </c>
      <c r="MD53" s="80" t="str">
        <f t="shared" si="15"/>
        <v/>
      </c>
      <c r="ME53" s="80" t="str">
        <f t="shared" si="15"/>
        <v/>
      </c>
      <c r="MF53" s="80" t="str">
        <f t="shared" si="15"/>
        <v/>
      </c>
      <c r="MG53" s="80" t="str">
        <f t="shared" si="15"/>
        <v/>
      </c>
      <c r="MH53" s="80" t="str">
        <f t="shared" si="15"/>
        <v/>
      </c>
      <c r="MI53" s="80" t="str">
        <f t="shared" si="15"/>
        <v/>
      </c>
      <c r="MJ53" s="80" t="str">
        <f t="shared" si="15"/>
        <v/>
      </c>
      <c r="MK53" s="80" t="str">
        <f t="shared" si="15"/>
        <v/>
      </c>
      <c r="ML53" s="80" t="str">
        <f t="shared" si="15"/>
        <v/>
      </c>
      <c r="MM53" s="80" t="str">
        <f t="shared" si="15"/>
        <v/>
      </c>
      <c r="MN53" s="80" t="str">
        <f t="shared" si="15"/>
        <v/>
      </c>
      <c r="MO53" s="80" t="str">
        <f t="shared" si="15"/>
        <v/>
      </c>
      <c r="MP53" s="80" t="str">
        <f t="shared" si="15"/>
        <v/>
      </c>
      <c r="MQ53" s="80" t="str">
        <f t="shared" si="15"/>
        <v/>
      </c>
      <c r="MR53" s="80" t="str">
        <f t="shared" si="15"/>
        <v/>
      </c>
      <c r="MS53" s="80" t="str">
        <f t="shared" si="15"/>
        <v/>
      </c>
      <c r="MT53" s="80" t="str">
        <f t="shared" si="15"/>
        <v/>
      </c>
      <c r="MU53" s="80" t="str">
        <f t="shared" si="15"/>
        <v/>
      </c>
      <c r="MV53" s="80" t="str">
        <f t="shared" si="15"/>
        <v/>
      </c>
      <c r="MW53" s="80" t="str">
        <f t="shared" si="15"/>
        <v/>
      </c>
      <c r="MX53" s="80" t="str">
        <f t="shared" si="15"/>
        <v/>
      </c>
      <c r="MY53" s="80" t="str">
        <f t="shared" si="15"/>
        <v/>
      </c>
      <c r="MZ53" s="80" t="str">
        <f t="shared" si="15"/>
        <v/>
      </c>
      <c r="NA53" s="80" t="str">
        <f t="shared" si="15"/>
        <v/>
      </c>
      <c r="NB53" s="80" t="str">
        <f t="shared" si="15"/>
        <v/>
      </c>
      <c r="NC53" s="80" t="str">
        <f t="shared" si="15"/>
        <v/>
      </c>
      <c r="ND53" s="80" t="str">
        <f t="shared" si="15"/>
        <v/>
      </c>
      <c r="NE53" s="80" t="str">
        <f t="shared" si="15"/>
        <v/>
      </c>
      <c r="NF53" s="80" t="str">
        <f t="shared" si="15"/>
        <v/>
      </c>
      <c r="NG53" s="80" t="str">
        <f t="shared" si="15"/>
        <v/>
      </c>
      <c r="NH53" s="80" t="str">
        <f t="shared" si="15"/>
        <v/>
      </c>
      <c r="NI53" s="80" t="str">
        <f t="shared" si="15"/>
        <v/>
      </c>
      <c r="NJ53" s="80" t="str">
        <f t="shared" si="15"/>
        <v/>
      </c>
      <c r="NK53" s="80" t="str">
        <f t="shared" si="15"/>
        <v/>
      </c>
      <c r="NL53" s="80" t="str">
        <f t="shared" si="15"/>
        <v/>
      </c>
      <c r="NM53" s="80" t="str">
        <f t="shared" si="15"/>
        <v/>
      </c>
      <c r="NN53" s="80" t="str">
        <f t="shared" si="15"/>
        <v/>
      </c>
      <c r="NO53" s="80" t="str">
        <f t="shared" si="15"/>
        <v/>
      </c>
      <c r="NP53" s="80" t="str">
        <f t="shared" si="15"/>
        <v/>
      </c>
      <c r="NQ53" s="80" t="str">
        <f t="shared" si="15"/>
        <v/>
      </c>
      <c r="NR53" s="80" t="str">
        <f t="shared" si="15"/>
        <v/>
      </c>
      <c r="NS53" s="80" t="str">
        <f t="shared" si="15"/>
        <v/>
      </c>
      <c r="NT53" s="80" t="str">
        <f t="shared" si="15"/>
        <v/>
      </c>
      <c r="NU53" s="80" t="str">
        <f t="shared" si="15"/>
        <v/>
      </c>
      <c r="NV53" s="80" t="str">
        <f t="shared" si="15"/>
        <v/>
      </c>
      <c r="NW53" s="80" t="str">
        <f t="shared" si="15"/>
        <v/>
      </c>
      <c r="NX53" s="80" t="str">
        <f t="shared" si="15"/>
        <v/>
      </c>
      <c r="NY53" s="80" t="str">
        <f t="shared" si="15"/>
        <v/>
      </c>
      <c r="NZ53" s="80" t="str">
        <f t="shared" si="15"/>
        <v/>
      </c>
      <c r="OA53" s="80" t="str">
        <f t="shared" si="15"/>
        <v/>
      </c>
      <c r="OB53" s="80" t="str">
        <f t="shared" ref="OB53:QM53" si="16">IF($D$4="","", WEEKNUM(OB9)-WEEKNUM($H$9)+1)</f>
        <v/>
      </c>
      <c r="OC53" s="80" t="str">
        <f t="shared" si="16"/>
        <v/>
      </c>
      <c r="OD53" s="80" t="str">
        <f t="shared" si="16"/>
        <v/>
      </c>
      <c r="OE53" s="80" t="str">
        <f t="shared" si="16"/>
        <v/>
      </c>
      <c r="OF53" s="80" t="str">
        <f t="shared" si="16"/>
        <v/>
      </c>
      <c r="OG53" s="80" t="str">
        <f t="shared" si="16"/>
        <v/>
      </c>
      <c r="OH53" s="80" t="str">
        <f t="shared" si="16"/>
        <v/>
      </c>
      <c r="OI53" s="80" t="str">
        <f t="shared" si="16"/>
        <v/>
      </c>
      <c r="OJ53" s="80" t="str">
        <f t="shared" si="16"/>
        <v/>
      </c>
      <c r="OK53" s="80" t="str">
        <f t="shared" si="16"/>
        <v/>
      </c>
      <c r="OL53" s="80" t="str">
        <f t="shared" si="16"/>
        <v/>
      </c>
      <c r="OM53" s="80" t="str">
        <f t="shared" si="16"/>
        <v/>
      </c>
      <c r="ON53" s="80" t="str">
        <f t="shared" si="16"/>
        <v/>
      </c>
      <c r="OO53" s="80" t="str">
        <f t="shared" si="16"/>
        <v/>
      </c>
      <c r="OP53" s="80" t="str">
        <f t="shared" si="16"/>
        <v/>
      </c>
      <c r="OQ53" s="80" t="str">
        <f t="shared" si="16"/>
        <v/>
      </c>
      <c r="OR53" s="80" t="str">
        <f t="shared" si="16"/>
        <v/>
      </c>
      <c r="OS53" s="80" t="str">
        <f t="shared" si="16"/>
        <v/>
      </c>
      <c r="OT53" s="80" t="str">
        <f t="shared" si="16"/>
        <v/>
      </c>
      <c r="OU53" s="80" t="str">
        <f t="shared" si="16"/>
        <v/>
      </c>
      <c r="OV53" s="80" t="str">
        <f t="shared" si="16"/>
        <v/>
      </c>
      <c r="OW53" s="80" t="str">
        <f t="shared" si="16"/>
        <v/>
      </c>
      <c r="OX53" s="80" t="str">
        <f t="shared" si="16"/>
        <v/>
      </c>
      <c r="OY53" s="80" t="str">
        <f t="shared" si="16"/>
        <v/>
      </c>
      <c r="OZ53" s="80" t="str">
        <f t="shared" si="16"/>
        <v/>
      </c>
      <c r="PA53" s="80" t="str">
        <f t="shared" si="16"/>
        <v/>
      </c>
      <c r="PB53" s="80" t="str">
        <f t="shared" si="16"/>
        <v/>
      </c>
      <c r="PC53" s="80" t="str">
        <f t="shared" si="16"/>
        <v/>
      </c>
      <c r="PD53" s="80" t="str">
        <f t="shared" si="16"/>
        <v/>
      </c>
      <c r="PE53" s="80" t="str">
        <f t="shared" si="16"/>
        <v/>
      </c>
      <c r="PF53" s="80" t="str">
        <f t="shared" si="16"/>
        <v/>
      </c>
      <c r="PG53" s="80" t="str">
        <f t="shared" si="16"/>
        <v/>
      </c>
      <c r="PH53" s="80" t="str">
        <f t="shared" si="16"/>
        <v/>
      </c>
      <c r="PI53" s="80" t="str">
        <f t="shared" si="16"/>
        <v/>
      </c>
      <c r="PJ53" s="80" t="str">
        <f t="shared" si="16"/>
        <v/>
      </c>
      <c r="PK53" s="80" t="str">
        <f t="shared" si="16"/>
        <v/>
      </c>
      <c r="PL53" s="80" t="str">
        <f t="shared" si="16"/>
        <v/>
      </c>
      <c r="PM53" s="80" t="str">
        <f t="shared" si="16"/>
        <v/>
      </c>
      <c r="PN53" s="80" t="str">
        <f t="shared" si="16"/>
        <v/>
      </c>
      <c r="PO53" s="80" t="str">
        <f t="shared" si="16"/>
        <v/>
      </c>
      <c r="PP53" s="80" t="str">
        <f t="shared" si="16"/>
        <v/>
      </c>
      <c r="PQ53" s="80" t="str">
        <f t="shared" si="16"/>
        <v/>
      </c>
      <c r="PR53" s="80" t="str">
        <f t="shared" si="16"/>
        <v/>
      </c>
      <c r="PS53" s="80" t="str">
        <f t="shared" si="16"/>
        <v/>
      </c>
      <c r="PT53" s="80" t="str">
        <f t="shared" si="16"/>
        <v/>
      </c>
      <c r="PU53" s="80" t="str">
        <f t="shared" si="16"/>
        <v/>
      </c>
      <c r="PV53" s="80" t="str">
        <f t="shared" si="16"/>
        <v/>
      </c>
      <c r="PW53" s="80" t="str">
        <f t="shared" si="16"/>
        <v/>
      </c>
      <c r="PX53" s="80" t="str">
        <f t="shared" si="16"/>
        <v/>
      </c>
      <c r="PY53" s="80" t="str">
        <f t="shared" si="16"/>
        <v/>
      </c>
      <c r="PZ53" s="80" t="str">
        <f t="shared" si="16"/>
        <v/>
      </c>
      <c r="QA53" s="80" t="str">
        <f t="shared" si="16"/>
        <v/>
      </c>
      <c r="QB53" s="80" t="str">
        <f t="shared" si="16"/>
        <v/>
      </c>
      <c r="QC53" s="80" t="str">
        <f t="shared" si="16"/>
        <v/>
      </c>
      <c r="QD53" s="80" t="str">
        <f t="shared" si="16"/>
        <v/>
      </c>
      <c r="QE53" s="80" t="str">
        <f t="shared" si="16"/>
        <v/>
      </c>
      <c r="QF53" s="80" t="str">
        <f t="shared" si="16"/>
        <v/>
      </c>
      <c r="QG53" s="80" t="str">
        <f t="shared" si="16"/>
        <v/>
      </c>
      <c r="QH53" s="80" t="str">
        <f t="shared" si="16"/>
        <v/>
      </c>
      <c r="QI53" s="80" t="str">
        <f t="shared" si="16"/>
        <v/>
      </c>
      <c r="QJ53" s="80" t="str">
        <f t="shared" si="16"/>
        <v/>
      </c>
      <c r="QK53" s="80" t="str">
        <f t="shared" si="16"/>
        <v/>
      </c>
      <c r="QL53" s="80" t="str">
        <f t="shared" si="16"/>
        <v/>
      </c>
      <c r="QM53" s="80" t="str">
        <f t="shared" si="16"/>
        <v/>
      </c>
      <c r="QN53" s="80" t="str">
        <f t="shared" ref="QN53:SC53" si="17">IF($D$4="","", WEEKNUM(QN9)-WEEKNUM($H$9)+1)</f>
        <v/>
      </c>
      <c r="QO53" s="80" t="str">
        <f t="shared" si="17"/>
        <v/>
      </c>
      <c r="QP53" s="80" t="str">
        <f t="shared" si="17"/>
        <v/>
      </c>
      <c r="QQ53" s="80" t="str">
        <f t="shared" si="17"/>
        <v/>
      </c>
      <c r="QR53" s="80" t="str">
        <f t="shared" si="17"/>
        <v/>
      </c>
      <c r="QS53" s="80" t="str">
        <f t="shared" si="17"/>
        <v/>
      </c>
      <c r="QT53" s="80" t="str">
        <f t="shared" si="17"/>
        <v/>
      </c>
      <c r="QU53" s="80" t="str">
        <f t="shared" si="17"/>
        <v/>
      </c>
      <c r="QV53" s="80" t="str">
        <f t="shared" si="17"/>
        <v/>
      </c>
      <c r="QW53" s="80" t="str">
        <f t="shared" si="17"/>
        <v/>
      </c>
      <c r="QX53" s="80" t="str">
        <f t="shared" si="17"/>
        <v/>
      </c>
      <c r="QY53" s="80" t="str">
        <f t="shared" si="17"/>
        <v/>
      </c>
      <c r="QZ53" s="80" t="str">
        <f t="shared" si="17"/>
        <v/>
      </c>
      <c r="RA53" s="80" t="str">
        <f t="shared" si="17"/>
        <v/>
      </c>
      <c r="RB53" s="80" t="str">
        <f t="shared" si="17"/>
        <v/>
      </c>
      <c r="RC53" s="80" t="str">
        <f t="shared" si="17"/>
        <v/>
      </c>
      <c r="RD53" s="80" t="str">
        <f t="shared" si="17"/>
        <v/>
      </c>
      <c r="RE53" s="80" t="str">
        <f t="shared" si="17"/>
        <v/>
      </c>
      <c r="RF53" s="80" t="str">
        <f t="shared" si="17"/>
        <v/>
      </c>
      <c r="RG53" s="80" t="str">
        <f t="shared" si="17"/>
        <v/>
      </c>
      <c r="RH53" s="80" t="str">
        <f t="shared" si="17"/>
        <v/>
      </c>
      <c r="RI53" s="80" t="str">
        <f t="shared" si="17"/>
        <v/>
      </c>
      <c r="RJ53" s="80" t="str">
        <f t="shared" si="17"/>
        <v/>
      </c>
      <c r="RK53" s="80" t="str">
        <f t="shared" si="17"/>
        <v/>
      </c>
      <c r="RL53" s="80" t="str">
        <f t="shared" si="17"/>
        <v/>
      </c>
      <c r="RM53" s="80" t="str">
        <f t="shared" si="17"/>
        <v/>
      </c>
      <c r="RN53" s="80" t="str">
        <f t="shared" si="17"/>
        <v/>
      </c>
      <c r="RO53" s="80" t="str">
        <f t="shared" si="17"/>
        <v/>
      </c>
      <c r="RP53" s="80" t="str">
        <f t="shared" si="17"/>
        <v/>
      </c>
      <c r="RQ53" s="80" t="str">
        <f t="shared" si="17"/>
        <v/>
      </c>
      <c r="RR53" s="80" t="str">
        <f t="shared" si="17"/>
        <v/>
      </c>
      <c r="RS53" s="80" t="str">
        <f t="shared" si="17"/>
        <v/>
      </c>
      <c r="RT53" s="80" t="str">
        <f t="shared" si="17"/>
        <v/>
      </c>
      <c r="RU53" s="80" t="str">
        <f t="shared" si="17"/>
        <v/>
      </c>
      <c r="RV53" s="80" t="str">
        <f t="shared" si="17"/>
        <v/>
      </c>
      <c r="RW53" s="80" t="str">
        <f t="shared" si="17"/>
        <v/>
      </c>
      <c r="RX53" s="80" t="str">
        <f t="shared" si="17"/>
        <v/>
      </c>
      <c r="RY53" s="80" t="str">
        <f t="shared" si="17"/>
        <v/>
      </c>
      <c r="RZ53" s="80" t="str">
        <f t="shared" si="17"/>
        <v/>
      </c>
      <c r="SA53" s="80" t="str">
        <f t="shared" si="17"/>
        <v/>
      </c>
      <c r="SB53" s="80" t="str">
        <f t="shared" si="17"/>
        <v/>
      </c>
      <c r="SC53" s="80" t="str">
        <f t="shared" si="17"/>
        <v/>
      </c>
    </row>
    <row r="54" spans="1:497" ht="27" hidden="1" customHeight="1" x14ac:dyDescent="0.15">
      <c r="A54" s="79"/>
      <c r="B54" s="79"/>
      <c r="C54" s="79"/>
      <c r="D54" s="79"/>
      <c r="E54" s="79"/>
      <c r="F54" s="126" t="s">
        <v>120</v>
      </c>
      <c r="G54" s="120"/>
      <c r="H54" s="80" t="str">
        <f t="shared" ref="H54:JB54" si="18">IF(AND(ISNUMBER(H53),ISNUMBER(G53),G54=0),0, IF(H53&lt;=0,IF(AND(G54="",H53&lt;0),"True",0),""))</f>
        <v/>
      </c>
      <c r="I54" s="80" t="str">
        <f t="shared" si="18"/>
        <v/>
      </c>
      <c r="J54" s="80" t="str">
        <f t="shared" si="18"/>
        <v/>
      </c>
      <c r="K54" s="80" t="str">
        <f t="shared" si="18"/>
        <v/>
      </c>
      <c r="L54" s="80" t="str">
        <f t="shared" si="18"/>
        <v/>
      </c>
      <c r="M54" s="80" t="str">
        <f>IF(AND(ISNUMBER(M53),ISNUMBER(L53),L54=0),0, IF(M53&lt;=0,IF(AND(L54="",M53&lt;0),"True",0),""))</f>
        <v/>
      </c>
      <c r="N54" s="80" t="str">
        <f t="shared" si="18"/>
        <v/>
      </c>
      <c r="O54" s="80" t="str">
        <f t="shared" si="18"/>
        <v/>
      </c>
      <c r="P54" s="80" t="str">
        <f t="shared" si="18"/>
        <v/>
      </c>
      <c r="Q54" s="80" t="str">
        <f t="shared" si="18"/>
        <v/>
      </c>
      <c r="R54" s="80" t="str">
        <f t="shared" si="18"/>
        <v/>
      </c>
      <c r="S54" s="80" t="str">
        <f t="shared" si="18"/>
        <v/>
      </c>
      <c r="T54" s="80" t="str">
        <f t="shared" si="18"/>
        <v/>
      </c>
      <c r="U54" s="80" t="str">
        <f t="shared" si="18"/>
        <v/>
      </c>
      <c r="V54" s="80" t="str">
        <f t="shared" si="18"/>
        <v/>
      </c>
      <c r="W54" s="80" t="str">
        <f t="shared" si="18"/>
        <v/>
      </c>
      <c r="X54" s="80" t="str">
        <f t="shared" si="18"/>
        <v/>
      </c>
      <c r="Y54" s="80" t="str">
        <f t="shared" si="18"/>
        <v/>
      </c>
      <c r="Z54" s="80" t="str">
        <f t="shared" si="18"/>
        <v/>
      </c>
      <c r="AA54" s="80" t="str">
        <f t="shared" si="18"/>
        <v/>
      </c>
      <c r="AB54" s="80" t="str">
        <f t="shared" si="18"/>
        <v/>
      </c>
      <c r="AC54" s="80" t="str">
        <f t="shared" si="18"/>
        <v/>
      </c>
      <c r="AD54" s="80" t="str">
        <f t="shared" si="18"/>
        <v/>
      </c>
      <c r="AE54" s="80" t="str">
        <f t="shared" si="18"/>
        <v/>
      </c>
      <c r="AF54" s="80" t="str">
        <f t="shared" si="18"/>
        <v/>
      </c>
      <c r="AG54" s="80" t="str">
        <f t="shared" si="18"/>
        <v/>
      </c>
      <c r="AH54" s="80" t="str">
        <f t="shared" si="18"/>
        <v/>
      </c>
      <c r="AI54" s="80" t="str">
        <f t="shared" si="18"/>
        <v/>
      </c>
      <c r="AJ54" s="80" t="str">
        <f t="shared" si="18"/>
        <v/>
      </c>
      <c r="AK54" s="80" t="str">
        <f t="shared" si="18"/>
        <v/>
      </c>
      <c r="AL54" s="80" t="str">
        <f t="shared" si="18"/>
        <v/>
      </c>
      <c r="AM54" s="80" t="str">
        <f t="shared" si="18"/>
        <v/>
      </c>
      <c r="AN54" s="80" t="str">
        <f t="shared" si="18"/>
        <v/>
      </c>
      <c r="AO54" s="80" t="str">
        <f t="shared" si="18"/>
        <v/>
      </c>
      <c r="AP54" s="80" t="str">
        <f t="shared" si="18"/>
        <v/>
      </c>
      <c r="AQ54" s="80" t="str">
        <f t="shared" si="18"/>
        <v/>
      </c>
      <c r="AR54" s="80" t="str">
        <f t="shared" si="18"/>
        <v/>
      </c>
      <c r="AS54" s="80" t="str">
        <f t="shared" si="18"/>
        <v/>
      </c>
      <c r="AT54" s="80" t="str">
        <f t="shared" si="18"/>
        <v/>
      </c>
      <c r="AU54" s="80" t="str">
        <f t="shared" si="18"/>
        <v/>
      </c>
      <c r="AV54" s="80" t="str">
        <f t="shared" si="18"/>
        <v/>
      </c>
      <c r="AW54" s="80" t="str">
        <f t="shared" si="18"/>
        <v/>
      </c>
      <c r="AX54" s="80" t="str">
        <f t="shared" si="18"/>
        <v/>
      </c>
      <c r="AY54" s="80" t="str">
        <f t="shared" si="18"/>
        <v/>
      </c>
      <c r="AZ54" s="80" t="str">
        <f t="shared" si="18"/>
        <v/>
      </c>
      <c r="BA54" s="80" t="str">
        <f t="shared" si="18"/>
        <v/>
      </c>
      <c r="BB54" s="80" t="str">
        <f t="shared" si="18"/>
        <v/>
      </c>
      <c r="BC54" s="80" t="str">
        <f t="shared" si="18"/>
        <v/>
      </c>
      <c r="BD54" s="80" t="str">
        <f t="shared" si="18"/>
        <v/>
      </c>
      <c r="BE54" s="80" t="str">
        <f t="shared" si="18"/>
        <v/>
      </c>
      <c r="BF54" s="80" t="str">
        <f t="shared" si="18"/>
        <v/>
      </c>
      <c r="BG54" s="80" t="str">
        <f t="shared" si="18"/>
        <v/>
      </c>
      <c r="BH54" s="80" t="str">
        <f t="shared" si="18"/>
        <v/>
      </c>
      <c r="BI54" s="80" t="str">
        <f t="shared" si="18"/>
        <v/>
      </c>
      <c r="BJ54" s="80" t="str">
        <f t="shared" si="18"/>
        <v/>
      </c>
      <c r="BK54" s="80" t="str">
        <f t="shared" si="18"/>
        <v/>
      </c>
      <c r="BL54" s="80" t="str">
        <f t="shared" si="18"/>
        <v/>
      </c>
      <c r="BM54" s="80" t="str">
        <f t="shared" si="18"/>
        <v/>
      </c>
      <c r="BN54" s="80" t="str">
        <f t="shared" si="18"/>
        <v/>
      </c>
      <c r="BO54" s="80" t="str">
        <f t="shared" si="18"/>
        <v/>
      </c>
      <c r="BP54" s="80" t="str">
        <f t="shared" si="18"/>
        <v/>
      </c>
      <c r="BQ54" s="80" t="str">
        <f t="shared" si="18"/>
        <v/>
      </c>
      <c r="BR54" s="80" t="str">
        <f t="shared" si="18"/>
        <v/>
      </c>
      <c r="BS54" s="80" t="str">
        <f t="shared" si="18"/>
        <v/>
      </c>
      <c r="BT54" s="80" t="str">
        <f t="shared" si="18"/>
        <v/>
      </c>
      <c r="BU54" s="80" t="str">
        <f t="shared" si="18"/>
        <v/>
      </c>
      <c r="BV54" s="80" t="str">
        <f t="shared" si="18"/>
        <v/>
      </c>
      <c r="BW54" s="80" t="str">
        <f t="shared" si="18"/>
        <v/>
      </c>
      <c r="BX54" s="80" t="str">
        <f t="shared" si="18"/>
        <v/>
      </c>
      <c r="BY54" s="80" t="str">
        <f t="shared" si="18"/>
        <v/>
      </c>
      <c r="BZ54" s="80" t="str">
        <f t="shared" si="18"/>
        <v/>
      </c>
      <c r="CA54" s="80" t="str">
        <f t="shared" si="18"/>
        <v/>
      </c>
      <c r="CB54" s="80" t="str">
        <f t="shared" si="18"/>
        <v/>
      </c>
      <c r="CC54" s="80" t="str">
        <f t="shared" si="18"/>
        <v/>
      </c>
      <c r="CD54" s="80" t="str">
        <f t="shared" si="18"/>
        <v/>
      </c>
      <c r="CE54" s="80" t="str">
        <f t="shared" si="18"/>
        <v/>
      </c>
      <c r="CF54" s="80" t="str">
        <f t="shared" si="18"/>
        <v/>
      </c>
      <c r="CG54" s="80" t="str">
        <f t="shared" si="18"/>
        <v/>
      </c>
      <c r="CH54" s="80" t="str">
        <f t="shared" si="18"/>
        <v/>
      </c>
      <c r="CI54" s="80" t="str">
        <f t="shared" si="18"/>
        <v/>
      </c>
      <c r="CJ54" s="80" t="str">
        <f t="shared" si="18"/>
        <v/>
      </c>
      <c r="CK54" s="80" t="str">
        <f t="shared" si="18"/>
        <v/>
      </c>
      <c r="CL54" s="80" t="str">
        <f t="shared" si="18"/>
        <v/>
      </c>
      <c r="CM54" s="80" t="str">
        <f t="shared" si="18"/>
        <v/>
      </c>
      <c r="CN54" s="80" t="str">
        <f t="shared" si="18"/>
        <v/>
      </c>
      <c r="CO54" s="80" t="str">
        <f t="shared" si="18"/>
        <v/>
      </c>
      <c r="CP54" s="80" t="str">
        <f t="shared" si="18"/>
        <v/>
      </c>
      <c r="CQ54" s="80" t="str">
        <f t="shared" si="18"/>
        <v/>
      </c>
      <c r="CR54" s="80" t="str">
        <f t="shared" si="18"/>
        <v/>
      </c>
      <c r="CS54" s="80" t="str">
        <f t="shared" si="18"/>
        <v/>
      </c>
      <c r="CT54" s="80" t="str">
        <f t="shared" si="18"/>
        <v/>
      </c>
      <c r="CU54" s="80" t="str">
        <f t="shared" si="18"/>
        <v/>
      </c>
      <c r="CV54" s="80" t="str">
        <f t="shared" si="18"/>
        <v/>
      </c>
      <c r="CW54" s="80" t="str">
        <f t="shared" si="18"/>
        <v/>
      </c>
      <c r="CX54" s="80" t="str">
        <f t="shared" si="18"/>
        <v/>
      </c>
      <c r="CY54" s="80" t="str">
        <f t="shared" si="18"/>
        <v/>
      </c>
      <c r="CZ54" s="80" t="str">
        <f t="shared" si="18"/>
        <v/>
      </c>
      <c r="DA54" s="80" t="str">
        <f t="shared" si="18"/>
        <v/>
      </c>
      <c r="DB54" s="80" t="str">
        <f t="shared" si="18"/>
        <v/>
      </c>
      <c r="DC54" s="80" t="str">
        <f t="shared" si="18"/>
        <v/>
      </c>
      <c r="DD54" s="80" t="str">
        <f t="shared" si="18"/>
        <v/>
      </c>
      <c r="DE54" s="80" t="str">
        <f t="shared" si="18"/>
        <v/>
      </c>
      <c r="DF54" s="80" t="str">
        <f t="shared" si="18"/>
        <v/>
      </c>
      <c r="DG54" s="80" t="str">
        <f t="shared" si="18"/>
        <v/>
      </c>
      <c r="DH54" s="80" t="str">
        <f t="shared" si="18"/>
        <v/>
      </c>
      <c r="DI54" s="80" t="str">
        <f t="shared" si="18"/>
        <v/>
      </c>
      <c r="DJ54" s="80" t="str">
        <f t="shared" si="18"/>
        <v/>
      </c>
      <c r="DK54" s="80" t="str">
        <f t="shared" si="18"/>
        <v/>
      </c>
      <c r="DL54" s="80" t="str">
        <f t="shared" si="18"/>
        <v/>
      </c>
      <c r="DM54" s="80" t="str">
        <f t="shared" si="18"/>
        <v/>
      </c>
      <c r="DN54" s="80" t="str">
        <f t="shared" si="18"/>
        <v/>
      </c>
      <c r="DO54" s="80" t="str">
        <f t="shared" si="18"/>
        <v/>
      </c>
      <c r="DP54" s="80" t="str">
        <f t="shared" si="18"/>
        <v/>
      </c>
      <c r="DQ54" s="80" t="str">
        <f t="shared" si="18"/>
        <v/>
      </c>
      <c r="DR54" s="80" t="str">
        <f t="shared" si="18"/>
        <v/>
      </c>
      <c r="DS54" s="80" t="str">
        <f t="shared" si="18"/>
        <v/>
      </c>
      <c r="DT54" s="80" t="str">
        <f t="shared" si="18"/>
        <v/>
      </c>
      <c r="DU54" s="80" t="str">
        <f t="shared" si="18"/>
        <v/>
      </c>
      <c r="DV54" s="80" t="str">
        <f t="shared" si="18"/>
        <v/>
      </c>
      <c r="DW54" s="80" t="str">
        <f t="shared" si="18"/>
        <v/>
      </c>
      <c r="DX54" s="80" t="str">
        <f t="shared" si="18"/>
        <v/>
      </c>
      <c r="DY54" s="80" t="str">
        <f t="shared" si="18"/>
        <v/>
      </c>
      <c r="DZ54" s="80" t="str">
        <f t="shared" si="18"/>
        <v/>
      </c>
      <c r="EA54" s="80" t="str">
        <f t="shared" si="18"/>
        <v/>
      </c>
      <c r="EB54" s="80" t="str">
        <f t="shared" si="18"/>
        <v/>
      </c>
      <c r="EC54" s="80" t="str">
        <f t="shared" si="18"/>
        <v/>
      </c>
      <c r="ED54" s="80" t="str">
        <f t="shared" si="18"/>
        <v/>
      </c>
      <c r="EE54" s="80" t="str">
        <f t="shared" si="18"/>
        <v/>
      </c>
      <c r="EF54" s="80" t="str">
        <f t="shared" si="18"/>
        <v/>
      </c>
      <c r="EG54" s="80" t="str">
        <f t="shared" si="18"/>
        <v/>
      </c>
      <c r="EH54" s="80" t="str">
        <f t="shared" si="18"/>
        <v/>
      </c>
      <c r="EI54" s="80" t="str">
        <f t="shared" si="18"/>
        <v/>
      </c>
      <c r="EJ54" s="80" t="str">
        <f t="shared" si="18"/>
        <v/>
      </c>
      <c r="EK54" s="80" t="str">
        <f t="shared" si="18"/>
        <v/>
      </c>
      <c r="EL54" s="80" t="str">
        <f t="shared" si="18"/>
        <v/>
      </c>
      <c r="EM54" s="80" t="str">
        <f t="shared" si="18"/>
        <v/>
      </c>
      <c r="EN54" s="80" t="str">
        <f t="shared" si="18"/>
        <v/>
      </c>
      <c r="EO54" s="80" t="str">
        <f t="shared" si="18"/>
        <v/>
      </c>
      <c r="EP54" s="80" t="str">
        <f t="shared" si="18"/>
        <v/>
      </c>
      <c r="EQ54" s="80" t="str">
        <f t="shared" si="18"/>
        <v/>
      </c>
      <c r="ER54" s="80" t="str">
        <f t="shared" si="18"/>
        <v/>
      </c>
      <c r="ES54" s="80" t="str">
        <f t="shared" si="18"/>
        <v/>
      </c>
      <c r="ET54" s="80" t="str">
        <f t="shared" si="18"/>
        <v/>
      </c>
      <c r="EU54" s="80" t="str">
        <f t="shared" si="18"/>
        <v/>
      </c>
      <c r="EV54" s="80" t="str">
        <f t="shared" si="18"/>
        <v/>
      </c>
      <c r="EW54" s="80" t="str">
        <f t="shared" si="18"/>
        <v/>
      </c>
      <c r="EX54" s="80" t="str">
        <f t="shared" si="18"/>
        <v/>
      </c>
      <c r="EY54" s="80" t="str">
        <f t="shared" si="18"/>
        <v/>
      </c>
      <c r="EZ54" s="80" t="str">
        <f t="shared" si="18"/>
        <v/>
      </c>
      <c r="FA54" s="80" t="str">
        <f t="shared" si="18"/>
        <v/>
      </c>
      <c r="FB54" s="80" t="str">
        <f t="shared" si="18"/>
        <v/>
      </c>
      <c r="FC54" s="80" t="str">
        <f t="shared" si="18"/>
        <v/>
      </c>
      <c r="FD54" s="80" t="str">
        <f t="shared" si="18"/>
        <v/>
      </c>
      <c r="FE54" s="80" t="str">
        <f t="shared" si="18"/>
        <v/>
      </c>
      <c r="FF54" s="80" t="str">
        <f t="shared" si="18"/>
        <v/>
      </c>
      <c r="FG54" s="80" t="str">
        <f t="shared" si="18"/>
        <v/>
      </c>
      <c r="FH54" s="80" t="str">
        <f t="shared" si="18"/>
        <v/>
      </c>
      <c r="FI54" s="80" t="str">
        <f t="shared" si="18"/>
        <v/>
      </c>
      <c r="FJ54" s="80" t="str">
        <f t="shared" si="18"/>
        <v/>
      </c>
      <c r="FK54" s="80" t="str">
        <f t="shared" si="18"/>
        <v/>
      </c>
      <c r="FL54" s="80" t="str">
        <f t="shared" si="18"/>
        <v/>
      </c>
      <c r="FM54" s="80" t="str">
        <f t="shared" si="18"/>
        <v/>
      </c>
      <c r="FN54" s="80" t="str">
        <f t="shared" si="18"/>
        <v/>
      </c>
      <c r="FO54" s="80" t="str">
        <f t="shared" si="18"/>
        <v/>
      </c>
      <c r="FP54" s="80" t="str">
        <f t="shared" si="18"/>
        <v/>
      </c>
      <c r="FQ54" s="80" t="str">
        <f t="shared" si="18"/>
        <v/>
      </c>
      <c r="FR54" s="80" t="str">
        <f t="shared" si="18"/>
        <v/>
      </c>
      <c r="FS54" s="80" t="str">
        <f t="shared" si="18"/>
        <v/>
      </c>
      <c r="FT54" s="80" t="str">
        <f t="shared" si="18"/>
        <v/>
      </c>
      <c r="FU54" s="80" t="str">
        <f t="shared" si="18"/>
        <v/>
      </c>
      <c r="FV54" s="80" t="str">
        <f t="shared" si="18"/>
        <v/>
      </c>
      <c r="FW54" s="80" t="str">
        <f t="shared" si="18"/>
        <v/>
      </c>
      <c r="FX54" s="80" t="str">
        <f t="shared" si="18"/>
        <v/>
      </c>
      <c r="FY54" s="80" t="str">
        <f t="shared" si="18"/>
        <v/>
      </c>
      <c r="FZ54" s="80" t="str">
        <f t="shared" si="18"/>
        <v/>
      </c>
      <c r="GA54" s="80" t="str">
        <f t="shared" si="18"/>
        <v/>
      </c>
      <c r="GB54" s="80" t="str">
        <f t="shared" si="18"/>
        <v/>
      </c>
      <c r="GC54" s="80" t="str">
        <f t="shared" si="18"/>
        <v/>
      </c>
      <c r="GD54" s="80" t="str">
        <f t="shared" si="18"/>
        <v/>
      </c>
      <c r="GE54" s="80" t="str">
        <f t="shared" si="18"/>
        <v/>
      </c>
      <c r="GF54" s="80" t="str">
        <f t="shared" si="18"/>
        <v/>
      </c>
      <c r="GG54" s="80" t="str">
        <f t="shared" si="18"/>
        <v/>
      </c>
      <c r="GH54" s="80" t="str">
        <f t="shared" si="18"/>
        <v/>
      </c>
      <c r="GI54" s="80" t="str">
        <f t="shared" si="18"/>
        <v/>
      </c>
      <c r="GJ54" s="80" t="str">
        <f t="shared" si="18"/>
        <v/>
      </c>
      <c r="GK54" s="80" t="str">
        <f t="shared" si="18"/>
        <v/>
      </c>
      <c r="GL54" s="80" t="str">
        <f t="shared" si="18"/>
        <v/>
      </c>
      <c r="GM54" s="80" t="str">
        <f t="shared" si="18"/>
        <v/>
      </c>
      <c r="GN54" s="80" t="str">
        <f t="shared" si="18"/>
        <v/>
      </c>
      <c r="GO54" s="80" t="str">
        <f t="shared" si="18"/>
        <v/>
      </c>
      <c r="GP54" s="80" t="str">
        <f t="shared" si="18"/>
        <v/>
      </c>
      <c r="GQ54" s="80" t="str">
        <f t="shared" si="18"/>
        <v/>
      </c>
      <c r="GR54" s="80" t="str">
        <f t="shared" si="18"/>
        <v/>
      </c>
      <c r="GS54" s="80" t="str">
        <f t="shared" si="18"/>
        <v/>
      </c>
      <c r="GT54" s="80" t="str">
        <f t="shared" si="18"/>
        <v/>
      </c>
      <c r="GU54" s="80" t="str">
        <f t="shared" si="18"/>
        <v/>
      </c>
      <c r="GV54" s="80" t="str">
        <f t="shared" si="18"/>
        <v/>
      </c>
      <c r="GW54" s="80" t="str">
        <f t="shared" si="18"/>
        <v/>
      </c>
      <c r="GX54" s="80" t="str">
        <f t="shared" si="18"/>
        <v/>
      </c>
      <c r="GY54" s="80" t="str">
        <f t="shared" si="18"/>
        <v/>
      </c>
      <c r="GZ54" s="80" t="str">
        <f t="shared" si="18"/>
        <v/>
      </c>
      <c r="HA54" s="80" t="str">
        <f t="shared" si="18"/>
        <v/>
      </c>
      <c r="HB54" s="80" t="str">
        <f t="shared" si="18"/>
        <v/>
      </c>
      <c r="HC54" s="80" t="str">
        <f t="shared" si="18"/>
        <v/>
      </c>
      <c r="HD54" s="80" t="str">
        <f t="shared" si="18"/>
        <v/>
      </c>
      <c r="HE54" s="80" t="str">
        <f t="shared" si="18"/>
        <v/>
      </c>
      <c r="HF54" s="80" t="str">
        <f t="shared" si="18"/>
        <v/>
      </c>
      <c r="HG54" s="80" t="str">
        <f t="shared" si="18"/>
        <v/>
      </c>
      <c r="HH54" s="80" t="str">
        <f t="shared" si="18"/>
        <v/>
      </c>
      <c r="HI54" s="80" t="str">
        <f t="shared" si="18"/>
        <v/>
      </c>
      <c r="HJ54" s="80" t="str">
        <f t="shared" si="18"/>
        <v/>
      </c>
      <c r="HK54" s="80" t="str">
        <f t="shared" si="18"/>
        <v/>
      </c>
      <c r="HL54" s="80" t="str">
        <f t="shared" si="18"/>
        <v/>
      </c>
      <c r="HM54" s="80" t="str">
        <f t="shared" si="18"/>
        <v/>
      </c>
      <c r="HN54" s="80" t="str">
        <f t="shared" si="18"/>
        <v/>
      </c>
      <c r="HO54" s="80" t="str">
        <f t="shared" si="18"/>
        <v/>
      </c>
      <c r="HP54" s="80" t="str">
        <f t="shared" si="18"/>
        <v/>
      </c>
      <c r="HQ54" s="80" t="str">
        <f t="shared" si="18"/>
        <v/>
      </c>
      <c r="HR54" s="80" t="str">
        <f t="shared" si="18"/>
        <v/>
      </c>
      <c r="HS54" s="80" t="str">
        <f t="shared" si="18"/>
        <v/>
      </c>
      <c r="HT54" s="80" t="str">
        <f t="shared" si="18"/>
        <v/>
      </c>
      <c r="HU54" s="80" t="str">
        <f t="shared" si="18"/>
        <v/>
      </c>
      <c r="HV54" s="80" t="str">
        <f t="shared" si="18"/>
        <v/>
      </c>
      <c r="HW54" s="80" t="str">
        <f t="shared" si="18"/>
        <v/>
      </c>
      <c r="HX54" s="80" t="str">
        <f t="shared" si="18"/>
        <v/>
      </c>
      <c r="HY54" s="80" t="str">
        <f t="shared" si="18"/>
        <v/>
      </c>
      <c r="HZ54" s="80" t="str">
        <f t="shared" si="18"/>
        <v/>
      </c>
      <c r="IA54" s="80" t="str">
        <f t="shared" si="18"/>
        <v/>
      </c>
      <c r="IB54" s="80" t="str">
        <f t="shared" si="18"/>
        <v/>
      </c>
      <c r="IC54" s="80" t="str">
        <f t="shared" si="18"/>
        <v/>
      </c>
      <c r="ID54" s="80" t="str">
        <f t="shared" si="18"/>
        <v/>
      </c>
      <c r="IE54" s="80" t="str">
        <f t="shared" si="18"/>
        <v/>
      </c>
      <c r="IF54" s="80" t="str">
        <f t="shared" si="18"/>
        <v/>
      </c>
      <c r="IG54" s="80" t="str">
        <f t="shared" si="18"/>
        <v/>
      </c>
      <c r="IH54" s="80" t="str">
        <f t="shared" si="18"/>
        <v/>
      </c>
      <c r="II54" s="80" t="str">
        <f t="shared" si="18"/>
        <v/>
      </c>
      <c r="IJ54" s="80" t="str">
        <f t="shared" si="18"/>
        <v/>
      </c>
      <c r="IK54" s="80" t="str">
        <f t="shared" si="18"/>
        <v/>
      </c>
      <c r="IL54" s="80" t="str">
        <f t="shared" si="18"/>
        <v/>
      </c>
      <c r="IM54" s="80" t="str">
        <f t="shared" si="18"/>
        <v/>
      </c>
      <c r="IN54" s="80" t="str">
        <f t="shared" si="18"/>
        <v/>
      </c>
      <c r="IO54" s="80" t="str">
        <f t="shared" si="18"/>
        <v/>
      </c>
      <c r="IP54" s="80" t="str">
        <f t="shared" si="18"/>
        <v/>
      </c>
      <c r="IQ54" s="80" t="str">
        <f t="shared" si="18"/>
        <v/>
      </c>
      <c r="IR54" s="80" t="str">
        <f t="shared" si="18"/>
        <v/>
      </c>
      <c r="IS54" s="80" t="str">
        <f t="shared" si="18"/>
        <v/>
      </c>
      <c r="IT54" s="80" t="str">
        <f t="shared" si="18"/>
        <v/>
      </c>
      <c r="IU54" s="80" t="str">
        <f t="shared" si="18"/>
        <v/>
      </c>
      <c r="IV54" s="80" t="str">
        <f t="shared" si="18"/>
        <v/>
      </c>
      <c r="IW54" s="80" t="str">
        <f t="shared" si="18"/>
        <v/>
      </c>
      <c r="IX54" s="80" t="str">
        <f t="shared" si="18"/>
        <v/>
      </c>
      <c r="IY54" s="80" t="str">
        <f t="shared" si="18"/>
        <v/>
      </c>
      <c r="IZ54" s="80" t="str">
        <f t="shared" si="18"/>
        <v/>
      </c>
      <c r="JA54" s="80" t="str">
        <f t="shared" si="18"/>
        <v/>
      </c>
      <c r="JB54" s="80" t="str">
        <f t="shared" si="18"/>
        <v/>
      </c>
      <c r="JC54" s="80" t="str">
        <f t="shared" ref="JC54:SC54" si="19">IF(AND(ISNUMBER(JC53),ISNUMBER(JB53),JB54=0),0, IF(JC53&lt;=0,IF(AND(JB54="",JC53&lt;0),"True",0),""))</f>
        <v/>
      </c>
      <c r="JD54" s="80" t="str">
        <f t="shared" si="19"/>
        <v/>
      </c>
      <c r="JE54" s="80" t="str">
        <f t="shared" si="19"/>
        <v/>
      </c>
      <c r="JF54" s="80" t="str">
        <f t="shared" si="19"/>
        <v/>
      </c>
      <c r="JG54" s="80" t="str">
        <f t="shared" si="19"/>
        <v/>
      </c>
      <c r="JH54" s="80" t="str">
        <f t="shared" si="19"/>
        <v/>
      </c>
      <c r="JI54" s="80" t="str">
        <f t="shared" si="19"/>
        <v/>
      </c>
      <c r="JJ54" s="80" t="str">
        <f t="shared" si="19"/>
        <v/>
      </c>
      <c r="JK54" s="80" t="str">
        <f t="shared" si="19"/>
        <v/>
      </c>
      <c r="JL54" s="80" t="str">
        <f t="shared" si="19"/>
        <v/>
      </c>
      <c r="JM54" s="80" t="str">
        <f t="shared" si="19"/>
        <v/>
      </c>
      <c r="JN54" s="80" t="str">
        <f t="shared" si="19"/>
        <v/>
      </c>
      <c r="JO54" s="80" t="str">
        <f t="shared" si="19"/>
        <v/>
      </c>
      <c r="JP54" s="80" t="str">
        <f t="shared" si="19"/>
        <v/>
      </c>
      <c r="JQ54" s="80" t="str">
        <f t="shared" si="19"/>
        <v/>
      </c>
      <c r="JR54" s="80" t="str">
        <f t="shared" si="19"/>
        <v/>
      </c>
      <c r="JS54" s="80" t="str">
        <f t="shared" si="19"/>
        <v/>
      </c>
      <c r="JT54" s="80" t="str">
        <f t="shared" si="19"/>
        <v/>
      </c>
      <c r="JU54" s="80" t="str">
        <f t="shared" si="19"/>
        <v/>
      </c>
      <c r="JV54" s="80" t="str">
        <f t="shared" si="19"/>
        <v/>
      </c>
      <c r="JW54" s="80" t="str">
        <f t="shared" si="19"/>
        <v/>
      </c>
      <c r="JX54" s="80" t="str">
        <f t="shared" si="19"/>
        <v/>
      </c>
      <c r="JY54" s="80" t="str">
        <f t="shared" si="19"/>
        <v/>
      </c>
      <c r="JZ54" s="80" t="str">
        <f t="shared" si="19"/>
        <v/>
      </c>
      <c r="KA54" s="80" t="str">
        <f t="shared" si="19"/>
        <v/>
      </c>
      <c r="KB54" s="80" t="str">
        <f t="shared" si="19"/>
        <v/>
      </c>
      <c r="KC54" s="80" t="str">
        <f t="shared" si="19"/>
        <v/>
      </c>
      <c r="KD54" s="80" t="str">
        <f t="shared" si="19"/>
        <v/>
      </c>
      <c r="KE54" s="80" t="str">
        <f t="shared" si="19"/>
        <v/>
      </c>
      <c r="KF54" s="80" t="str">
        <f t="shared" si="19"/>
        <v/>
      </c>
      <c r="KG54" s="80" t="str">
        <f t="shared" si="19"/>
        <v/>
      </c>
      <c r="KH54" s="80" t="str">
        <f t="shared" si="19"/>
        <v/>
      </c>
      <c r="KI54" s="80" t="str">
        <f t="shared" si="19"/>
        <v/>
      </c>
      <c r="KJ54" s="80" t="str">
        <f t="shared" si="19"/>
        <v/>
      </c>
      <c r="KK54" s="80" t="str">
        <f t="shared" si="19"/>
        <v/>
      </c>
      <c r="KL54" s="80" t="str">
        <f t="shared" si="19"/>
        <v/>
      </c>
      <c r="KM54" s="80" t="str">
        <f t="shared" si="19"/>
        <v/>
      </c>
      <c r="KN54" s="80" t="str">
        <f t="shared" si="19"/>
        <v/>
      </c>
      <c r="KO54" s="80" t="str">
        <f t="shared" si="19"/>
        <v/>
      </c>
      <c r="KP54" s="80" t="str">
        <f t="shared" si="19"/>
        <v/>
      </c>
      <c r="KQ54" s="80" t="str">
        <f t="shared" si="19"/>
        <v/>
      </c>
      <c r="KR54" s="80" t="str">
        <f t="shared" si="19"/>
        <v/>
      </c>
      <c r="KS54" s="80" t="str">
        <f t="shared" si="19"/>
        <v/>
      </c>
      <c r="KT54" s="80" t="str">
        <f t="shared" si="19"/>
        <v/>
      </c>
      <c r="KU54" s="80" t="str">
        <f t="shared" si="19"/>
        <v/>
      </c>
      <c r="KV54" s="80" t="str">
        <f t="shared" si="19"/>
        <v/>
      </c>
      <c r="KW54" s="80" t="str">
        <f t="shared" si="19"/>
        <v/>
      </c>
      <c r="KX54" s="80" t="str">
        <f t="shared" si="19"/>
        <v/>
      </c>
      <c r="KY54" s="80" t="str">
        <f t="shared" si="19"/>
        <v/>
      </c>
      <c r="KZ54" s="80" t="str">
        <f t="shared" si="19"/>
        <v/>
      </c>
      <c r="LA54" s="80" t="str">
        <f t="shared" si="19"/>
        <v/>
      </c>
      <c r="LB54" s="80" t="str">
        <f t="shared" si="19"/>
        <v/>
      </c>
      <c r="LC54" s="80" t="str">
        <f t="shared" si="19"/>
        <v/>
      </c>
      <c r="LD54" s="80" t="str">
        <f t="shared" si="19"/>
        <v/>
      </c>
      <c r="LE54" s="80" t="str">
        <f t="shared" si="19"/>
        <v/>
      </c>
      <c r="LF54" s="80" t="str">
        <f t="shared" si="19"/>
        <v/>
      </c>
      <c r="LG54" s="80" t="str">
        <f t="shared" si="19"/>
        <v/>
      </c>
      <c r="LH54" s="80" t="str">
        <f t="shared" si="19"/>
        <v/>
      </c>
      <c r="LI54" s="80" t="str">
        <f t="shared" si="19"/>
        <v/>
      </c>
      <c r="LJ54" s="80" t="str">
        <f t="shared" si="19"/>
        <v/>
      </c>
      <c r="LK54" s="80" t="str">
        <f t="shared" si="19"/>
        <v/>
      </c>
      <c r="LL54" s="80" t="str">
        <f t="shared" si="19"/>
        <v/>
      </c>
      <c r="LM54" s="80" t="str">
        <f t="shared" si="19"/>
        <v/>
      </c>
      <c r="LN54" s="80" t="str">
        <f t="shared" si="19"/>
        <v/>
      </c>
      <c r="LO54" s="80" t="str">
        <f t="shared" si="19"/>
        <v/>
      </c>
      <c r="LP54" s="80" t="str">
        <f t="shared" si="19"/>
        <v/>
      </c>
      <c r="LQ54" s="80" t="str">
        <f t="shared" si="19"/>
        <v/>
      </c>
      <c r="LR54" s="80" t="str">
        <f t="shared" si="19"/>
        <v/>
      </c>
      <c r="LS54" s="80" t="str">
        <f t="shared" si="19"/>
        <v/>
      </c>
      <c r="LT54" s="80" t="str">
        <f t="shared" si="19"/>
        <v/>
      </c>
      <c r="LU54" s="80" t="str">
        <f t="shared" si="19"/>
        <v/>
      </c>
      <c r="LV54" s="80" t="str">
        <f t="shared" si="19"/>
        <v/>
      </c>
      <c r="LW54" s="80" t="str">
        <f t="shared" si="19"/>
        <v/>
      </c>
      <c r="LX54" s="80" t="str">
        <f t="shared" si="19"/>
        <v/>
      </c>
      <c r="LY54" s="80" t="str">
        <f t="shared" si="19"/>
        <v/>
      </c>
      <c r="LZ54" s="80" t="str">
        <f t="shared" si="19"/>
        <v/>
      </c>
      <c r="MA54" s="80" t="str">
        <f t="shared" si="19"/>
        <v/>
      </c>
      <c r="MB54" s="80" t="str">
        <f t="shared" si="19"/>
        <v/>
      </c>
      <c r="MC54" s="80" t="str">
        <f t="shared" si="19"/>
        <v/>
      </c>
      <c r="MD54" s="80" t="str">
        <f t="shared" si="19"/>
        <v/>
      </c>
      <c r="ME54" s="80" t="str">
        <f t="shared" si="19"/>
        <v/>
      </c>
      <c r="MF54" s="80" t="str">
        <f t="shared" si="19"/>
        <v/>
      </c>
      <c r="MG54" s="80" t="str">
        <f t="shared" si="19"/>
        <v/>
      </c>
      <c r="MH54" s="80" t="str">
        <f t="shared" si="19"/>
        <v/>
      </c>
      <c r="MI54" s="80" t="str">
        <f t="shared" si="19"/>
        <v/>
      </c>
      <c r="MJ54" s="80" t="str">
        <f t="shared" si="19"/>
        <v/>
      </c>
      <c r="MK54" s="80" t="str">
        <f t="shared" si="19"/>
        <v/>
      </c>
      <c r="ML54" s="80" t="str">
        <f t="shared" si="19"/>
        <v/>
      </c>
      <c r="MM54" s="80" t="str">
        <f t="shared" si="19"/>
        <v/>
      </c>
      <c r="MN54" s="80" t="str">
        <f t="shared" si="19"/>
        <v/>
      </c>
      <c r="MO54" s="80" t="str">
        <f t="shared" si="19"/>
        <v/>
      </c>
      <c r="MP54" s="80" t="str">
        <f t="shared" si="19"/>
        <v/>
      </c>
      <c r="MQ54" s="80" t="str">
        <f t="shared" si="19"/>
        <v/>
      </c>
      <c r="MR54" s="80" t="str">
        <f t="shared" si="19"/>
        <v/>
      </c>
      <c r="MS54" s="80" t="str">
        <f t="shared" si="19"/>
        <v/>
      </c>
      <c r="MT54" s="80" t="str">
        <f t="shared" si="19"/>
        <v/>
      </c>
      <c r="MU54" s="80" t="str">
        <f t="shared" si="19"/>
        <v/>
      </c>
      <c r="MV54" s="80" t="str">
        <f t="shared" si="19"/>
        <v/>
      </c>
      <c r="MW54" s="80" t="str">
        <f t="shared" si="19"/>
        <v/>
      </c>
      <c r="MX54" s="80" t="str">
        <f t="shared" si="19"/>
        <v/>
      </c>
      <c r="MY54" s="80" t="str">
        <f t="shared" si="19"/>
        <v/>
      </c>
      <c r="MZ54" s="80" t="str">
        <f t="shared" si="19"/>
        <v/>
      </c>
      <c r="NA54" s="80" t="str">
        <f t="shared" si="19"/>
        <v/>
      </c>
      <c r="NB54" s="80" t="str">
        <f t="shared" si="19"/>
        <v/>
      </c>
      <c r="NC54" s="80" t="str">
        <f t="shared" si="19"/>
        <v/>
      </c>
      <c r="ND54" s="80" t="str">
        <f t="shared" si="19"/>
        <v/>
      </c>
      <c r="NE54" s="80" t="str">
        <f t="shared" si="19"/>
        <v/>
      </c>
      <c r="NF54" s="80" t="str">
        <f t="shared" si="19"/>
        <v/>
      </c>
      <c r="NG54" s="80" t="str">
        <f t="shared" si="19"/>
        <v/>
      </c>
      <c r="NH54" s="80" t="str">
        <f t="shared" si="19"/>
        <v/>
      </c>
      <c r="NI54" s="80" t="str">
        <f t="shared" si="19"/>
        <v/>
      </c>
      <c r="NJ54" s="80" t="str">
        <f t="shared" si="19"/>
        <v/>
      </c>
      <c r="NK54" s="80" t="str">
        <f t="shared" si="19"/>
        <v/>
      </c>
      <c r="NL54" s="80" t="str">
        <f t="shared" si="19"/>
        <v/>
      </c>
      <c r="NM54" s="80" t="str">
        <f t="shared" si="19"/>
        <v/>
      </c>
      <c r="NN54" s="80" t="str">
        <f t="shared" si="19"/>
        <v/>
      </c>
      <c r="NO54" s="80" t="str">
        <f t="shared" si="19"/>
        <v/>
      </c>
      <c r="NP54" s="80" t="str">
        <f t="shared" si="19"/>
        <v/>
      </c>
      <c r="NQ54" s="80" t="str">
        <f t="shared" si="19"/>
        <v/>
      </c>
      <c r="NR54" s="80" t="str">
        <f t="shared" si="19"/>
        <v/>
      </c>
      <c r="NS54" s="80" t="str">
        <f t="shared" si="19"/>
        <v/>
      </c>
      <c r="NT54" s="80" t="str">
        <f t="shared" si="19"/>
        <v/>
      </c>
      <c r="NU54" s="80" t="str">
        <f t="shared" si="19"/>
        <v/>
      </c>
      <c r="NV54" s="80" t="str">
        <f t="shared" si="19"/>
        <v/>
      </c>
      <c r="NW54" s="80" t="str">
        <f t="shared" si="19"/>
        <v/>
      </c>
      <c r="NX54" s="80" t="str">
        <f t="shared" si="19"/>
        <v/>
      </c>
      <c r="NY54" s="80" t="str">
        <f t="shared" si="19"/>
        <v/>
      </c>
      <c r="NZ54" s="80" t="str">
        <f t="shared" si="19"/>
        <v/>
      </c>
      <c r="OA54" s="80" t="str">
        <f t="shared" si="19"/>
        <v/>
      </c>
      <c r="OB54" s="80" t="str">
        <f t="shared" si="19"/>
        <v/>
      </c>
      <c r="OC54" s="80" t="str">
        <f t="shared" si="19"/>
        <v/>
      </c>
      <c r="OD54" s="80" t="str">
        <f t="shared" si="19"/>
        <v/>
      </c>
      <c r="OE54" s="80" t="str">
        <f t="shared" si="19"/>
        <v/>
      </c>
      <c r="OF54" s="80" t="str">
        <f t="shared" si="19"/>
        <v/>
      </c>
      <c r="OG54" s="80" t="str">
        <f t="shared" si="19"/>
        <v/>
      </c>
      <c r="OH54" s="80" t="str">
        <f t="shared" si="19"/>
        <v/>
      </c>
      <c r="OI54" s="80" t="str">
        <f t="shared" si="19"/>
        <v/>
      </c>
      <c r="OJ54" s="80" t="str">
        <f t="shared" si="19"/>
        <v/>
      </c>
      <c r="OK54" s="80" t="str">
        <f t="shared" si="19"/>
        <v/>
      </c>
      <c r="OL54" s="80" t="str">
        <f t="shared" si="19"/>
        <v/>
      </c>
      <c r="OM54" s="80" t="str">
        <f t="shared" si="19"/>
        <v/>
      </c>
      <c r="ON54" s="80" t="str">
        <f t="shared" si="19"/>
        <v/>
      </c>
      <c r="OO54" s="80" t="str">
        <f t="shared" si="19"/>
        <v/>
      </c>
      <c r="OP54" s="80" t="str">
        <f t="shared" si="19"/>
        <v/>
      </c>
      <c r="OQ54" s="80" t="str">
        <f t="shared" si="19"/>
        <v/>
      </c>
      <c r="OR54" s="80" t="str">
        <f t="shared" si="19"/>
        <v/>
      </c>
      <c r="OS54" s="80" t="str">
        <f t="shared" si="19"/>
        <v/>
      </c>
      <c r="OT54" s="80" t="str">
        <f t="shared" si="19"/>
        <v/>
      </c>
      <c r="OU54" s="80" t="str">
        <f t="shared" si="19"/>
        <v/>
      </c>
      <c r="OV54" s="80" t="str">
        <f t="shared" si="19"/>
        <v/>
      </c>
      <c r="OW54" s="80" t="str">
        <f t="shared" si="19"/>
        <v/>
      </c>
      <c r="OX54" s="80" t="str">
        <f t="shared" si="19"/>
        <v/>
      </c>
      <c r="OY54" s="80" t="str">
        <f t="shared" si="19"/>
        <v/>
      </c>
      <c r="OZ54" s="80" t="str">
        <f t="shared" si="19"/>
        <v/>
      </c>
      <c r="PA54" s="80" t="str">
        <f t="shared" si="19"/>
        <v/>
      </c>
      <c r="PB54" s="80" t="str">
        <f t="shared" si="19"/>
        <v/>
      </c>
      <c r="PC54" s="80" t="str">
        <f t="shared" si="19"/>
        <v/>
      </c>
      <c r="PD54" s="80" t="str">
        <f t="shared" si="19"/>
        <v/>
      </c>
      <c r="PE54" s="80" t="str">
        <f t="shared" si="19"/>
        <v/>
      </c>
      <c r="PF54" s="80" t="str">
        <f t="shared" si="19"/>
        <v/>
      </c>
      <c r="PG54" s="80" t="str">
        <f t="shared" si="19"/>
        <v/>
      </c>
      <c r="PH54" s="80" t="str">
        <f t="shared" si="19"/>
        <v/>
      </c>
      <c r="PI54" s="80" t="str">
        <f t="shared" si="19"/>
        <v/>
      </c>
      <c r="PJ54" s="80" t="str">
        <f t="shared" si="19"/>
        <v/>
      </c>
      <c r="PK54" s="80" t="str">
        <f t="shared" si="19"/>
        <v/>
      </c>
      <c r="PL54" s="80" t="str">
        <f t="shared" si="19"/>
        <v/>
      </c>
      <c r="PM54" s="80" t="str">
        <f t="shared" si="19"/>
        <v/>
      </c>
      <c r="PN54" s="80" t="str">
        <f t="shared" si="19"/>
        <v/>
      </c>
      <c r="PO54" s="80" t="str">
        <f t="shared" si="19"/>
        <v/>
      </c>
      <c r="PP54" s="80" t="str">
        <f t="shared" si="19"/>
        <v/>
      </c>
      <c r="PQ54" s="80" t="str">
        <f t="shared" si="19"/>
        <v/>
      </c>
      <c r="PR54" s="80" t="str">
        <f t="shared" si="19"/>
        <v/>
      </c>
      <c r="PS54" s="80" t="str">
        <f t="shared" si="19"/>
        <v/>
      </c>
      <c r="PT54" s="80" t="str">
        <f t="shared" si="19"/>
        <v/>
      </c>
      <c r="PU54" s="80" t="str">
        <f t="shared" si="19"/>
        <v/>
      </c>
      <c r="PV54" s="80" t="str">
        <f t="shared" si="19"/>
        <v/>
      </c>
      <c r="PW54" s="80" t="str">
        <f t="shared" si="19"/>
        <v/>
      </c>
      <c r="PX54" s="80" t="str">
        <f t="shared" si="19"/>
        <v/>
      </c>
      <c r="PY54" s="80" t="str">
        <f t="shared" si="19"/>
        <v/>
      </c>
      <c r="PZ54" s="80" t="str">
        <f t="shared" si="19"/>
        <v/>
      </c>
      <c r="QA54" s="80" t="str">
        <f t="shared" si="19"/>
        <v/>
      </c>
      <c r="QB54" s="80" t="str">
        <f t="shared" si="19"/>
        <v/>
      </c>
      <c r="QC54" s="80" t="str">
        <f t="shared" si="19"/>
        <v/>
      </c>
      <c r="QD54" s="80" t="str">
        <f t="shared" si="19"/>
        <v/>
      </c>
      <c r="QE54" s="80" t="str">
        <f t="shared" si="19"/>
        <v/>
      </c>
      <c r="QF54" s="80" t="str">
        <f t="shared" si="19"/>
        <v/>
      </c>
      <c r="QG54" s="80" t="str">
        <f t="shared" si="19"/>
        <v/>
      </c>
      <c r="QH54" s="80" t="str">
        <f t="shared" si="19"/>
        <v/>
      </c>
      <c r="QI54" s="80" t="str">
        <f t="shared" si="19"/>
        <v/>
      </c>
      <c r="QJ54" s="80" t="str">
        <f t="shared" si="19"/>
        <v/>
      </c>
      <c r="QK54" s="80" t="str">
        <f t="shared" si="19"/>
        <v/>
      </c>
      <c r="QL54" s="80" t="str">
        <f t="shared" si="19"/>
        <v/>
      </c>
      <c r="QM54" s="80" t="str">
        <f t="shared" si="19"/>
        <v/>
      </c>
      <c r="QN54" s="80" t="str">
        <f t="shared" si="19"/>
        <v/>
      </c>
      <c r="QO54" s="80" t="str">
        <f t="shared" si="19"/>
        <v/>
      </c>
      <c r="QP54" s="80" t="str">
        <f t="shared" si="19"/>
        <v/>
      </c>
      <c r="QQ54" s="80" t="str">
        <f t="shared" si="19"/>
        <v/>
      </c>
      <c r="QR54" s="80" t="str">
        <f t="shared" si="19"/>
        <v/>
      </c>
      <c r="QS54" s="80" t="str">
        <f t="shared" si="19"/>
        <v/>
      </c>
      <c r="QT54" s="80" t="str">
        <f t="shared" si="19"/>
        <v/>
      </c>
      <c r="QU54" s="80" t="str">
        <f t="shared" si="19"/>
        <v/>
      </c>
      <c r="QV54" s="80" t="str">
        <f t="shared" si="19"/>
        <v/>
      </c>
      <c r="QW54" s="80" t="str">
        <f t="shared" si="19"/>
        <v/>
      </c>
      <c r="QX54" s="80" t="str">
        <f t="shared" si="19"/>
        <v/>
      </c>
      <c r="QY54" s="80" t="str">
        <f t="shared" si="19"/>
        <v/>
      </c>
      <c r="QZ54" s="80" t="str">
        <f t="shared" si="19"/>
        <v/>
      </c>
      <c r="RA54" s="80" t="str">
        <f t="shared" si="19"/>
        <v/>
      </c>
      <c r="RB54" s="80" t="str">
        <f t="shared" si="19"/>
        <v/>
      </c>
      <c r="RC54" s="80" t="str">
        <f t="shared" si="19"/>
        <v/>
      </c>
      <c r="RD54" s="80" t="str">
        <f t="shared" si="19"/>
        <v/>
      </c>
      <c r="RE54" s="80" t="str">
        <f t="shared" si="19"/>
        <v/>
      </c>
      <c r="RF54" s="80" t="str">
        <f t="shared" si="19"/>
        <v/>
      </c>
      <c r="RG54" s="80" t="str">
        <f t="shared" si="19"/>
        <v/>
      </c>
      <c r="RH54" s="80" t="str">
        <f t="shared" si="19"/>
        <v/>
      </c>
      <c r="RI54" s="80" t="str">
        <f t="shared" si="19"/>
        <v/>
      </c>
      <c r="RJ54" s="80" t="str">
        <f t="shared" si="19"/>
        <v/>
      </c>
      <c r="RK54" s="80" t="str">
        <f t="shared" si="19"/>
        <v/>
      </c>
      <c r="RL54" s="80" t="str">
        <f t="shared" si="19"/>
        <v/>
      </c>
      <c r="RM54" s="80" t="str">
        <f t="shared" si="19"/>
        <v/>
      </c>
      <c r="RN54" s="80" t="str">
        <f t="shared" si="19"/>
        <v/>
      </c>
      <c r="RO54" s="80" t="str">
        <f t="shared" si="19"/>
        <v/>
      </c>
      <c r="RP54" s="80" t="str">
        <f t="shared" si="19"/>
        <v/>
      </c>
      <c r="RQ54" s="80" t="str">
        <f t="shared" si="19"/>
        <v/>
      </c>
      <c r="RR54" s="80" t="str">
        <f t="shared" si="19"/>
        <v/>
      </c>
      <c r="RS54" s="80" t="str">
        <f t="shared" si="19"/>
        <v/>
      </c>
      <c r="RT54" s="80" t="str">
        <f t="shared" si="19"/>
        <v/>
      </c>
      <c r="RU54" s="80" t="str">
        <f t="shared" si="19"/>
        <v/>
      </c>
      <c r="RV54" s="80" t="str">
        <f t="shared" si="19"/>
        <v/>
      </c>
      <c r="RW54" s="80" t="str">
        <f t="shared" si="19"/>
        <v/>
      </c>
      <c r="RX54" s="80" t="str">
        <f t="shared" si="19"/>
        <v/>
      </c>
      <c r="RY54" s="80" t="str">
        <f t="shared" si="19"/>
        <v/>
      </c>
      <c r="RZ54" s="80" t="str">
        <f t="shared" si="19"/>
        <v/>
      </c>
      <c r="SA54" s="80" t="str">
        <f t="shared" si="19"/>
        <v/>
      </c>
      <c r="SB54" s="80" t="str">
        <f t="shared" si="19"/>
        <v/>
      </c>
      <c r="SC54" s="80" t="str">
        <f t="shared" si="19"/>
        <v/>
      </c>
    </row>
    <row r="55" spans="1:497" ht="27" hidden="1" customHeight="1" x14ac:dyDescent="0.15">
      <c r="A55" s="79"/>
      <c r="B55" s="79"/>
      <c r="C55" s="79"/>
      <c r="D55" s="79"/>
      <c r="E55" s="79"/>
      <c r="F55" s="94"/>
      <c r="G55" s="94"/>
      <c r="H55" s="80" t="str">
        <f t="shared" ref="H55:AM55" si="20">IF(AND(H54&gt;0, TEXT(H8,"dddd")= $D$58),"True","")</f>
        <v/>
      </c>
      <c r="I55" s="80" t="str">
        <f t="shared" si="20"/>
        <v/>
      </c>
      <c r="J55" s="80" t="str">
        <f t="shared" si="20"/>
        <v/>
      </c>
      <c r="K55" s="80" t="str">
        <f t="shared" si="20"/>
        <v/>
      </c>
      <c r="L55" s="80" t="str">
        <f t="shared" si="20"/>
        <v/>
      </c>
      <c r="M55" s="80" t="str">
        <f t="shared" si="20"/>
        <v/>
      </c>
      <c r="N55" s="80" t="str">
        <f t="shared" si="20"/>
        <v/>
      </c>
      <c r="O55" s="80" t="str">
        <f t="shared" si="20"/>
        <v/>
      </c>
      <c r="P55" s="80" t="str">
        <f t="shared" si="20"/>
        <v/>
      </c>
      <c r="Q55" s="80" t="str">
        <f t="shared" si="20"/>
        <v/>
      </c>
      <c r="R55" s="80" t="str">
        <f t="shared" si="20"/>
        <v/>
      </c>
      <c r="S55" s="80" t="str">
        <f t="shared" si="20"/>
        <v/>
      </c>
      <c r="T55" s="80" t="str">
        <f t="shared" si="20"/>
        <v/>
      </c>
      <c r="U55" s="80" t="str">
        <f t="shared" si="20"/>
        <v/>
      </c>
      <c r="V55" s="80" t="str">
        <f t="shared" si="20"/>
        <v/>
      </c>
      <c r="W55" s="80" t="str">
        <f t="shared" si="20"/>
        <v/>
      </c>
      <c r="X55" s="80" t="str">
        <f t="shared" si="20"/>
        <v/>
      </c>
      <c r="Y55" s="80" t="str">
        <f t="shared" si="20"/>
        <v/>
      </c>
      <c r="Z55" s="80" t="str">
        <f t="shared" si="20"/>
        <v/>
      </c>
      <c r="AA55" s="80" t="str">
        <f t="shared" si="20"/>
        <v/>
      </c>
      <c r="AB55" s="80" t="str">
        <f t="shared" si="20"/>
        <v/>
      </c>
      <c r="AC55" s="80" t="str">
        <f t="shared" si="20"/>
        <v/>
      </c>
      <c r="AD55" s="80" t="str">
        <f t="shared" si="20"/>
        <v/>
      </c>
      <c r="AE55" s="80" t="str">
        <f t="shared" si="20"/>
        <v/>
      </c>
      <c r="AF55" s="80" t="str">
        <f t="shared" si="20"/>
        <v/>
      </c>
      <c r="AG55" s="80" t="str">
        <f t="shared" si="20"/>
        <v/>
      </c>
      <c r="AH55" s="80" t="str">
        <f t="shared" si="20"/>
        <v/>
      </c>
      <c r="AI55" s="80" t="str">
        <f t="shared" si="20"/>
        <v/>
      </c>
      <c r="AJ55" s="80" t="str">
        <f t="shared" si="20"/>
        <v/>
      </c>
      <c r="AK55" s="80" t="str">
        <f t="shared" si="20"/>
        <v/>
      </c>
      <c r="AL55" s="80" t="str">
        <f t="shared" si="20"/>
        <v/>
      </c>
      <c r="AM55" s="80" t="str">
        <f t="shared" si="20"/>
        <v/>
      </c>
      <c r="AN55" s="80" t="str">
        <f t="shared" ref="AN55:BS55" si="21">IF(AND(AN54&gt;0, TEXT(AN8,"dddd")= $D$58),"True","")</f>
        <v/>
      </c>
      <c r="AO55" s="80" t="str">
        <f t="shared" si="21"/>
        <v/>
      </c>
      <c r="AP55" s="80" t="str">
        <f t="shared" si="21"/>
        <v/>
      </c>
      <c r="AQ55" s="80" t="str">
        <f t="shared" si="21"/>
        <v/>
      </c>
      <c r="AR55" s="80" t="str">
        <f t="shared" si="21"/>
        <v/>
      </c>
      <c r="AS55" s="80" t="str">
        <f t="shared" si="21"/>
        <v/>
      </c>
      <c r="AT55" s="80" t="str">
        <f t="shared" si="21"/>
        <v/>
      </c>
      <c r="AU55" s="80" t="str">
        <f t="shared" si="21"/>
        <v/>
      </c>
      <c r="AV55" s="80" t="str">
        <f t="shared" si="21"/>
        <v/>
      </c>
      <c r="AW55" s="80" t="str">
        <f t="shared" si="21"/>
        <v/>
      </c>
      <c r="AX55" s="80" t="str">
        <f t="shared" si="21"/>
        <v/>
      </c>
      <c r="AY55" s="80" t="str">
        <f t="shared" si="21"/>
        <v/>
      </c>
      <c r="AZ55" s="80" t="str">
        <f t="shared" si="21"/>
        <v/>
      </c>
      <c r="BA55" s="80" t="str">
        <f t="shared" si="21"/>
        <v/>
      </c>
      <c r="BB55" s="80" t="str">
        <f t="shared" si="21"/>
        <v/>
      </c>
      <c r="BC55" s="80" t="str">
        <f t="shared" si="21"/>
        <v/>
      </c>
      <c r="BD55" s="80" t="str">
        <f t="shared" si="21"/>
        <v/>
      </c>
      <c r="BE55" s="80" t="str">
        <f t="shared" si="21"/>
        <v/>
      </c>
      <c r="BF55" s="80" t="str">
        <f t="shared" si="21"/>
        <v/>
      </c>
      <c r="BG55" s="80" t="str">
        <f t="shared" si="21"/>
        <v/>
      </c>
      <c r="BH55" s="80" t="str">
        <f t="shared" si="21"/>
        <v/>
      </c>
      <c r="BI55" s="80" t="str">
        <f t="shared" si="21"/>
        <v/>
      </c>
      <c r="BJ55" s="80" t="str">
        <f t="shared" si="21"/>
        <v/>
      </c>
      <c r="BK55" s="80" t="str">
        <f t="shared" si="21"/>
        <v/>
      </c>
      <c r="BL55" s="80" t="str">
        <f t="shared" si="21"/>
        <v/>
      </c>
      <c r="BM55" s="80" t="str">
        <f t="shared" si="21"/>
        <v/>
      </c>
      <c r="BN55" s="80" t="str">
        <f t="shared" si="21"/>
        <v/>
      </c>
      <c r="BO55" s="80" t="str">
        <f t="shared" si="21"/>
        <v/>
      </c>
      <c r="BP55" s="80" t="str">
        <f t="shared" si="21"/>
        <v/>
      </c>
      <c r="BQ55" s="80" t="str">
        <f t="shared" si="21"/>
        <v/>
      </c>
      <c r="BR55" s="80" t="str">
        <f t="shared" si="21"/>
        <v/>
      </c>
      <c r="BS55" s="80" t="str">
        <f t="shared" si="21"/>
        <v/>
      </c>
      <c r="BT55" s="80" t="str">
        <f t="shared" ref="BT55:BU55" si="22">IF(AND(BT54&gt;0, TEXT(BT8,"dddd")= $D$58),"True","")</f>
        <v/>
      </c>
      <c r="BU55" s="80" t="str">
        <f t="shared" si="22"/>
        <v/>
      </c>
      <c r="BV55" s="80" t="str">
        <f>IF(AND(BV54="True", TEXT(BV8,"dddd")= $D$58),"True","")</f>
        <v/>
      </c>
      <c r="BW55" s="80" t="str">
        <f t="shared" ref="BW55:EH55" si="23">IF(AND(BW54&gt;0, TEXT(BW8,"dddd")= $D$58),"True","")</f>
        <v/>
      </c>
      <c r="BX55" s="80" t="str">
        <f t="shared" si="23"/>
        <v/>
      </c>
      <c r="BY55" s="80" t="str">
        <f t="shared" si="23"/>
        <v/>
      </c>
      <c r="BZ55" s="80" t="str">
        <f t="shared" si="23"/>
        <v/>
      </c>
      <c r="CA55" s="80" t="str">
        <f t="shared" si="23"/>
        <v/>
      </c>
      <c r="CB55" s="80" t="str">
        <f t="shared" si="23"/>
        <v/>
      </c>
      <c r="CC55" s="80" t="str">
        <f t="shared" si="23"/>
        <v/>
      </c>
      <c r="CD55" s="80" t="str">
        <f t="shared" si="23"/>
        <v/>
      </c>
      <c r="CE55" s="80" t="str">
        <f t="shared" si="23"/>
        <v/>
      </c>
      <c r="CF55" s="80" t="str">
        <f t="shared" si="23"/>
        <v/>
      </c>
      <c r="CG55" s="80" t="str">
        <f t="shared" si="23"/>
        <v/>
      </c>
      <c r="CH55" s="80" t="str">
        <f t="shared" si="23"/>
        <v/>
      </c>
      <c r="CI55" s="80" t="str">
        <f t="shared" si="23"/>
        <v/>
      </c>
      <c r="CJ55" s="80" t="str">
        <f t="shared" si="23"/>
        <v/>
      </c>
      <c r="CK55" s="80" t="str">
        <f t="shared" si="23"/>
        <v/>
      </c>
      <c r="CL55" s="80" t="str">
        <f t="shared" si="23"/>
        <v/>
      </c>
      <c r="CM55" s="80" t="str">
        <f t="shared" si="23"/>
        <v/>
      </c>
      <c r="CN55" s="80" t="str">
        <f t="shared" si="23"/>
        <v/>
      </c>
      <c r="CO55" s="80" t="str">
        <f t="shared" si="23"/>
        <v/>
      </c>
      <c r="CP55" s="80" t="str">
        <f t="shared" si="23"/>
        <v/>
      </c>
      <c r="CQ55" s="80" t="str">
        <f t="shared" si="23"/>
        <v/>
      </c>
      <c r="CR55" s="80" t="str">
        <f t="shared" si="23"/>
        <v/>
      </c>
      <c r="CS55" s="80" t="str">
        <f t="shared" si="23"/>
        <v/>
      </c>
      <c r="CT55" s="80" t="str">
        <f t="shared" si="23"/>
        <v/>
      </c>
      <c r="CU55" s="80" t="str">
        <f t="shared" si="23"/>
        <v/>
      </c>
      <c r="CV55" s="80" t="str">
        <f t="shared" si="23"/>
        <v/>
      </c>
      <c r="CW55" s="80" t="str">
        <f t="shared" si="23"/>
        <v/>
      </c>
      <c r="CX55" s="80" t="str">
        <f t="shared" si="23"/>
        <v/>
      </c>
      <c r="CY55" s="80" t="str">
        <f t="shared" si="23"/>
        <v/>
      </c>
      <c r="CZ55" s="80" t="str">
        <f t="shared" si="23"/>
        <v/>
      </c>
      <c r="DA55" s="80" t="str">
        <f t="shared" si="23"/>
        <v/>
      </c>
      <c r="DB55" s="80" t="str">
        <f t="shared" si="23"/>
        <v/>
      </c>
      <c r="DC55" s="80" t="str">
        <f t="shared" si="23"/>
        <v/>
      </c>
      <c r="DD55" s="80" t="str">
        <f t="shared" si="23"/>
        <v/>
      </c>
      <c r="DE55" s="80" t="str">
        <f t="shared" si="23"/>
        <v/>
      </c>
      <c r="DF55" s="80" t="str">
        <f t="shared" si="23"/>
        <v/>
      </c>
      <c r="DG55" s="80" t="str">
        <f t="shared" si="23"/>
        <v/>
      </c>
      <c r="DH55" s="80" t="str">
        <f t="shared" si="23"/>
        <v/>
      </c>
      <c r="DI55" s="80" t="str">
        <f t="shared" si="23"/>
        <v/>
      </c>
      <c r="DJ55" s="80" t="str">
        <f t="shared" si="23"/>
        <v/>
      </c>
      <c r="DK55" s="80" t="str">
        <f t="shared" si="23"/>
        <v/>
      </c>
      <c r="DL55" s="80" t="str">
        <f t="shared" si="23"/>
        <v/>
      </c>
      <c r="DM55" s="80" t="str">
        <f t="shared" si="23"/>
        <v/>
      </c>
      <c r="DN55" s="80" t="str">
        <f t="shared" si="23"/>
        <v/>
      </c>
      <c r="DO55" s="80" t="str">
        <f t="shared" si="23"/>
        <v/>
      </c>
      <c r="DP55" s="80" t="str">
        <f t="shared" si="23"/>
        <v/>
      </c>
      <c r="DQ55" s="80" t="str">
        <f t="shared" si="23"/>
        <v/>
      </c>
      <c r="DR55" s="80" t="str">
        <f t="shared" si="23"/>
        <v/>
      </c>
      <c r="DS55" s="80" t="str">
        <f t="shared" si="23"/>
        <v/>
      </c>
      <c r="DT55" s="80" t="str">
        <f t="shared" si="23"/>
        <v/>
      </c>
      <c r="DU55" s="80" t="str">
        <f t="shared" si="23"/>
        <v/>
      </c>
      <c r="DV55" s="80" t="str">
        <f t="shared" si="23"/>
        <v/>
      </c>
      <c r="DW55" s="80" t="str">
        <f t="shared" si="23"/>
        <v/>
      </c>
      <c r="DX55" s="80" t="str">
        <f t="shared" si="23"/>
        <v/>
      </c>
      <c r="DY55" s="80" t="str">
        <f t="shared" si="23"/>
        <v/>
      </c>
      <c r="DZ55" s="80" t="str">
        <f t="shared" si="23"/>
        <v/>
      </c>
      <c r="EA55" s="80" t="str">
        <f t="shared" si="23"/>
        <v/>
      </c>
      <c r="EB55" s="80" t="str">
        <f t="shared" si="23"/>
        <v/>
      </c>
      <c r="EC55" s="80" t="str">
        <f t="shared" si="23"/>
        <v/>
      </c>
      <c r="ED55" s="80" t="str">
        <f t="shared" si="23"/>
        <v/>
      </c>
      <c r="EE55" s="80" t="str">
        <f t="shared" si="23"/>
        <v/>
      </c>
      <c r="EF55" s="80" t="str">
        <f t="shared" si="23"/>
        <v/>
      </c>
      <c r="EG55" s="80" t="str">
        <f t="shared" si="23"/>
        <v/>
      </c>
      <c r="EH55" s="80" t="str">
        <f t="shared" si="23"/>
        <v/>
      </c>
      <c r="EI55" s="80" t="str">
        <f t="shared" ref="EI55:GT55" si="24">IF(AND(EI54&gt;0, TEXT(EI8,"dddd")= $D$58),"True","")</f>
        <v/>
      </c>
      <c r="EJ55" s="80" t="str">
        <f t="shared" si="24"/>
        <v/>
      </c>
      <c r="EK55" s="80" t="str">
        <f t="shared" si="24"/>
        <v/>
      </c>
      <c r="EL55" s="80" t="str">
        <f t="shared" si="24"/>
        <v/>
      </c>
      <c r="EM55" s="80" t="str">
        <f t="shared" si="24"/>
        <v/>
      </c>
      <c r="EN55" s="80" t="str">
        <f t="shared" si="24"/>
        <v/>
      </c>
      <c r="EO55" s="80" t="str">
        <f t="shared" si="24"/>
        <v/>
      </c>
      <c r="EP55" s="80" t="str">
        <f t="shared" si="24"/>
        <v/>
      </c>
      <c r="EQ55" s="80" t="str">
        <f t="shared" si="24"/>
        <v/>
      </c>
      <c r="ER55" s="80" t="str">
        <f t="shared" si="24"/>
        <v/>
      </c>
      <c r="ES55" s="80" t="str">
        <f t="shared" si="24"/>
        <v/>
      </c>
      <c r="ET55" s="80" t="str">
        <f t="shared" si="24"/>
        <v/>
      </c>
      <c r="EU55" s="80" t="str">
        <f t="shared" si="24"/>
        <v/>
      </c>
      <c r="EV55" s="80" t="str">
        <f t="shared" si="24"/>
        <v/>
      </c>
      <c r="EW55" s="80" t="str">
        <f t="shared" si="24"/>
        <v/>
      </c>
      <c r="EX55" s="80" t="str">
        <f t="shared" si="24"/>
        <v/>
      </c>
      <c r="EY55" s="80" t="str">
        <f t="shared" si="24"/>
        <v/>
      </c>
      <c r="EZ55" s="80" t="str">
        <f t="shared" si="24"/>
        <v/>
      </c>
      <c r="FA55" s="80" t="str">
        <f t="shared" si="24"/>
        <v/>
      </c>
      <c r="FB55" s="80" t="str">
        <f t="shared" si="24"/>
        <v/>
      </c>
      <c r="FC55" s="80" t="str">
        <f t="shared" si="24"/>
        <v/>
      </c>
      <c r="FD55" s="80" t="str">
        <f t="shared" si="24"/>
        <v/>
      </c>
      <c r="FE55" s="80" t="str">
        <f t="shared" si="24"/>
        <v/>
      </c>
      <c r="FF55" s="80" t="str">
        <f t="shared" si="24"/>
        <v/>
      </c>
      <c r="FG55" s="80" t="str">
        <f t="shared" si="24"/>
        <v/>
      </c>
      <c r="FH55" s="80" t="str">
        <f t="shared" si="24"/>
        <v/>
      </c>
      <c r="FI55" s="80" t="str">
        <f t="shared" si="24"/>
        <v/>
      </c>
      <c r="FJ55" s="80" t="str">
        <f t="shared" si="24"/>
        <v/>
      </c>
      <c r="FK55" s="80" t="str">
        <f t="shared" si="24"/>
        <v/>
      </c>
      <c r="FL55" s="80" t="str">
        <f t="shared" si="24"/>
        <v/>
      </c>
      <c r="FM55" s="80" t="str">
        <f t="shared" si="24"/>
        <v/>
      </c>
      <c r="FN55" s="80" t="str">
        <f t="shared" si="24"/>
        <v/>
      </c>
      <c r="FO55" s="80" t="str">
        <f t="shared" si="24"/>
        <v/>
      </c>
      <c r="FP55" s="80" t="str">
        <f t="shared" si="24"/>
        <v/>
      </c>
      <c r="FQ55" s="80" t="str">
        <f t="shared" si="24"/>
        <v/>
      </c>
      <c r="FR55" s="80" t="str">
        <f t="shared" si="24"/>
        <v/>
      </c>
      <c r="FS55" s="80" t="str">
        <f t="shared" si="24"/>
        <v/>
      </c>
      <c r="FT55" s="80" t="str">
        <f t="shared" si="24"/>
        <v/>
      </c>
      <c r="FU55" s="80" t="str">
        <f t="shared" si="24"/>
        <v/>
      </c>
      <c r="FV55" s="80" t="str">
        <f t="shared" si="24"/>
        <v/>
      </c>
      <c r="FW55" s="80" t="str">
        <f t="shared" si="24"/>
        <v/>
      </c>
      <c r="FX55" s="80" t="str">
        <f t="shared" si="24"/>
        <v/>
      </c>
      <c r="FY55" s="80" t="str">
        <f t="shared" si="24"/>
        <v/>
      </c>
      <c r="FZ55" s="80" t="str">
        <f t="shared" si="24"/>
        <v/>
      </c>
      <c r="GA55" s="80" t="str">
        <f t="shared" si="24"/>
        <v/>
      </c>
      <c r="GB55" s="80" t="str">
        <f t="shared" si="24"/>
        <v/>
      </c>
      <c r="GC55" s="80" t="str">
        <f t="shared" si="24"/>
        <v/>
      </c>
      <c r="GD55" s="80" t="str">
        <f t="shared" si="24"/>
        <v/>
      </c>
      <c r="GE55" s="80" t="str">
        <f t="shared" si="24"/>
        <v/>
      </c>
      <c r="GF55" s="80" t="str">
        <f t="shared" si="24"/>
        <v/>
      </c>
      <c r="GG55" s="80" t="str">
        <f t="shared" si="24"/>
        <v/>
      </c>
      <c r="GH55" s="80" t="str">
        <f t="shared" si="24"/>
        <v/>
      </c>
      <c r="GI55" s="80" t="str">
        <f t="shared" si="24"/>
        <v/>
      </c>
      <c r="GJ55" s="80" t="str">
        <f t="shared" si="24"/>
        <v/>
      </c>
      <c r="GK55" s="80" t="str">
        <f t="shared" si="24"/>
        <v/>
      </c>
      <c r="GL55" s="80" t="str">
        <f t="shared" si="24"/>
        <v/>
      </c>
      <c r="GM55" s="80" t="str">
        <f t="shared" si="24"/>
        <v/>
      </c>
      <c r="GN55" s="80" t="str">
        <f t="shared" si="24"/>
        <v/>
      </c>
      <c r="GO55" s="80" t="str">
        <f t="shared" si="24"/>
        <v/>
      </c>
      <c r="GP55" s="80" t="str">
        <f t="shared" si="24"/>
        <v/>
      </c>
      <c r="GQ55" s="80" t="str">
        <f t="shared" si="24"/>
        <v/>
      </c>
      <c r="GR55" s="80" t="str">
        <f t="shared" si="24"/>
        <v/>
      </c>
      <c r="GS55" s="80" t="str">
        <f t="shared" si="24"/>
        <v/>
      </c>
      <c r="GT55" s="80" t="str">
        <f t="shared" si="24"/>
        <v/>
      </c>
      <c r="GU55" s="80" t="str">
        <f t="shared" ref="GU55:JF55" si="25">IF(AND(GU54&gt;0, TEXT(GU8,"dddd")= $D$58),"True","")</f>
        <v/>
      </c>
      <c r="GV55" s="80" t="str">
        <f t="shared" si="25"/>
        <v/>
      </c>
      <c r="GW55" s="80" t="str">
        <f t="shared" si="25"/>
        <v/>
      </c>
      <c r="GX55" s="80" t="str">
        <f t="shared" si="25"/>
        <v/>
      </c>
      <c r="GY55" s="80" t="str">
        <f t="shared" si="25"/>
        <v/>
      </c>
      <c r="GZ55" s="80" t="str">
        <f t="shared" si="25"/>
        <v/>
      </c>
      <c r="HA55" s="80" t="str">
        <f t="shared" si="25"/>
        <v/>
      </c>
      <c r="HB55" s="80" t="str">
        <f t="shared" si="25"/>
        <v/>
      </c>
      <c r="HC55" s="80" t="str">
        <f t="shared" si="25"/>
        <v/>
      </c>
      <c r="HD55" s="80" t="str">
        <f t="shared" si="25"/>
        <v/>
      </c>
      <c r="HE55" s="80" t="str">
        <f t="shared" si="25"/>
        <v/>
      </c>
      <c r="HF55" s="80" t="str">
        <f t="shared" si="25"/>
        <v/>
      </c>
      <c r="HG55" s="80" t="str">
        <f t="shared" si="25"/>
        <v/>
      </c>
      <c r="HH55" s="80" t="str">
        <f t="shared" si="25"/>
        <v/>
      </c>
      <c r="HI55" s="80" t="str">
        <f t="shared" si="25"/>
        <v/>
      </c>
      <c r="HJ55" s="80" t="str">
        <f t="shared" si="25"/>
        <v/>
      </c>
      <c r="HK55" s="80" t="str">
        <f t="shared" si="25"/>
        <v/>
      </c>
      <c r="HL55" s="80" t="str">
        <f t="shared" si="25"/>
        <v/>
      </c>
      <c r="HM55" s="80" t="str">
        <f t="shared" si="25"/>
        <v/>
      </c>
      <c r="HN55" s="80" t="str">
        <f t="shared" si="25"/>
        <v/>
      </c>
      <c r="HO55" s="80" t="str">
        <f t="shared" si="25"/>
        <v/>
      </c>
      <c r="HP55" s="80" t="str">
        <f t="shared" si="25"/>
        <v/>
      </c>
      <c r="HQ55" s="80" t="str">
        <f t="shared" si="25"/>
        <v/>
      </c>
      <c r="HR55" s="80" t="str">
        <f t="shared" si="25"/>
        <v/>
      </c>
      <c r="HS55" s="80" t="str">
        <f t="shared" si="25"/>
        <v/>
      </c>
      <c r="HT55" s="80" t="str">
        <f t="shared" si="25"/>
        <v/>
      </c>
      <c r="HU55" s="80" t="str">
        <f t="shared" si="25"/>
        <v/>
      </c>
      <c r="HV55" s="80" t="str">
        <f t="shared" si="25"/>
        <v/>
      </c>
      <c r="HW55" s="80" t="str">
        <f t="shared" si="25"/>
        <v/>
      </c>
      <c r="HX55" s="80" t="str">
        <f t="shared" si="25"/>
        <v/>
      </c>
      <c r="HY55" s="80" t="str">
        <f t="shared" si="25"/>
        <v/>
      </c>
      <c r="HZ55" s="80" t="str">
        <f t="shared" si="25"/>
        <v/>
      </c>
      <c r="IA55" s="80" t="str">
        <f t="shared" si="25"/>
        <v/>
      </c>
      <c r="IB55" s="80" t="str">
        <f t="shared" si="25"/>
        <v/>
      </c>
      <c r="IC55" s="80" t="str">
        <f t="shared" si="25"/>
        <v/>
      </c>
      <c r="ID55" s="80" t="str">
        <f t="shared" si="25"/>
        <v/>
      </c>
      <c r="IE55" s="80" t="str">
        <f t="shared" si="25"/>
        <v/>
      </c>
      <c r="IF55" s="80" t="str">
        <f t="shared" si="25"/>
        <v/>
      </c>
      <c r="IG55" s="80" t="str">
        <f t="shared" si="25"/>
        <v/>
      </c>
      <c r="IH55" s="80" t="str">
        <f t="shared" si="25"/>
        <v/>
      </c>
      <c r="II55" s="80" t="str">
        <f t="shared" si="25"/>
        <v/>
      </c>
      <c r="IJ55" s="80" t="str">
        <f t="shared" si="25"/>
        <v/>
      </c>
      <c r="IK55" s="80" t="str">
        <f t="shared" si="25"/>
        <v/>
      </c>
      <c r="IL55" s="80" t="str">
        <f t="shared" si="25"/>
        <v/>
      </c>
      <c r="IM55" s="80" t="str">
        <f t="shared" si="25"/>
        <v/>
      </c>
      <c r="IN55" s="80" t="str">
        <f t="shared" si="25"/>
        <v/>
      </c>
      <c r="IO55" s="80" t="str">
        <f t="shared" si="25"/>
        <v/>
      </c>
      <c r="IP55" s="80" t="str">
        <f t="shared" si="25"/>
        <v/>
      </c>
      <c r="IQ55" s="80" t="str">
        <f t="shared" si="25"/>
        <v/>
      </c>
      <c r="IR55" s="80" t="str">
        <f t="shared" si="25"/>
        <v/>
      </c>
      <c r="IS55" s="80" t="str">
        <f t="shared" si="25"/>
        <v/>
      </c>
      <c r="IT55" s="80" t="str">
        <f t="shared" si="25"/>
        <v/>
      </c>
      <c r="IU55" s="80" t="str">
        <f t="shared" si="25"/>
        <v/>
      </c>
      <c r="IV55" s="80" t="str">
        <f t="shared" si="25"/>
        <v/>
      </c>
      <c r="IW55" s="80" t="str">
        <f t="shared" si="25"/>
        <v/>
      </c>
      <c r="IX55" s="80" t="str">
        <f t="shared" si="25"/>
        <v/>
      </c>
      <c r="IY55" s="80" t="str">
        <f t="shared" si="25"/>
        <v/>
      </c>
      <c r="IZ55" s="80" t="str">
        <f t="shared" si="25"/>
        <v/>
      </c>
      <c r="JA55" s="80" t="str">
        <f t="shared" si="25"/>
        <v/>
      </c>
      <c r="JB55" s="80" t="str">
        <f t="shared" si="25"/>
        <v/>
      </c>
      <c r="JC55" s="80" t="str">
        <f t="shared" si="25"/>
        <v/>
      </c>
      <c r="JD55" s="80" t="str">
        <f t="shared" si="25"/>
        <v/>
      </c>
      <c r="JE55" s="80" t="str">
        <f t="shared" si="25"/>
        <v/>
      </c>
      <c r="JF55" s="80" t="str">
        <f t="shared" si="25"/>
        <v/>
      </c>
      <c r="JG55" s="80" t="str">
        <f t="shared" ref="JG55:LR55" si="26">IF(AND(JG54&gt;0, TEXT(JG8,"dddd")= $D$58),"True","")</f>
        <v/>
      </c>
      <c r="JH55" s="80" t="str">
        <f t="shared" si="26"/>
        <v/>
      </c>
      <c r="JI55" s="80" t="str">
        <f t="shared" si="26"/>
        <v/>
      </c>
      <c r="JJ55" s="80" t="str">
        <f t="shared" si="26"/>
        <v/>
      </c>
      <c r="JK55" s="80" t="str">
        <f t="shared" si="26"/>
        <v/>
      </c>
      <c r="JL55" s="80" t="str">
        <f t="shared" si="26"/>
        <v/>
      </c>
      <c r="JM55" s="80" t="str">
        <f t="shared" si="26"/>
        <v/>
      </c>
      <c r="JN55" s="80" t="str">
        <f t="shared" si="26"/>
        <v/>
      </c>
      <c r="JO55" s="80" t="str">
        <f t="shared" si="26"/>
        <v/>
      </c>
      <c r="JP55" s="80" t="str">
        <f t="shared" si="26"/>
        <v/>
      </c>
      <c r="JQ55" s="80" t="str">
        <f t="shared" si="26"/>
        <v/>
      </c>
      <c r="JR55" s="80" t="str">
        <f t="shared" si="26"/>
        <v/>
      </c>
      <c r="JS55" s="80" t="str">
        <f t="shared" si="26"/>
        <v/>
      </c>
      <c r="JT55" s="80" t="str">
        <f t="shared" si="26"/>
        <v/>
      </c>
      <c r="JU55" s="80" t="str">
        <f t="shared" si="26"/>
        <v/>
      </c>
      <c r="JV55" s="80" t="str">
        <f t="shared" si="26"/>
        <v/>
      </c>
      <c r="JW55" s="80" t="str">
        <f t="shared" si="26"/>
        <v/>
      </c>
      <c r="JX55" s="80" t="str">
        <f t="shared" si="26"/>
        <v/>
      </c>
      <c r="JY55" s="80" t="str">
        <f t="shared" si="26"/>
        <v/>
      </c>
      <c r="JZ55" s="80" t="str">
        <f t="shared" si="26"/>
        <v/>
      </c>
      <c r="KA55" s="80" t="str">
        <f t="shared" si="26"/>
        <v/>
      </c>
      <c r="KB55" s="80" t="str">
        <f t="shared" si="26"/>
        <v/>
      </c>
      <c r="KC55" s="80" t="str">
        <f t="shared" si="26"/>
        <v/>
      </c>
      <c r="KD55" s="80" t="str">
        <f t="shared" si="26"/>
        <v/>
      </c>
      <c r="KE55" s="80" t="str">
        <f t="shared" si="26"/>
        <v/>
      </c>
      <c r="KF55" s="80" t="str">
        <f t="shared" si="26"/>
        <v/>
      </c>
      <c r="KG55" s="80" t="str">
        <f t="shared" si="26"/>
        <v/>
      </c>
      <c r="KH55" s="80" t="str">
        <f t="shared" si="26"/>
        <v/>
      </c>
      <c r="KI55" s="80" t="str">
        <f t="shared" si="26"/>
        <v/>
      </c>
      <c r="KJ55" s="80" t="str">
        <f t="shared" si="26"/>
        <v/>
      </c>
      <c r="KK55" s="80" t="str">
        <f t="shared" si="26"/>
        <v/>
      </c>
      <c r="KL55" s="80" t="str">
        <f t="shared" si="26"/>
        <v/>
      </c>
      <c r="KM55" s="80" t="str">
        <f t="shared" si="26"/>
        <v/>
      </c>
      <c r="KN55" s="80" t="str">
        <f t="shared" si="26"/>
        <v/>
      </c>
      <c r="KO55" s="80" t="str">
        <f t="shared" si="26"/>
        <v/>
      </c>
      <c r="KP55" s="80" t="str">
        <f t="shared" si="26"/>
        <v/>
      </c>
      <c r="KQ55" s="80" t="str">
        <f t="shared" si="26"/>
        <v/>
      </c>
      <c r="KR55" s="80" t="str">
        <f t="shared" si="26"/>
        <v/>
      </c>
      <c r="KS55" s="80" t="str">
        <f t="shared" si="26"/>
        <v/>
      </c>
      <c r="KT55" s="80" t="str">
        <f t="shared" si="26"/>
        <v/>
      </c>
      <c r="KU55" s="80" t="str">
        <f t="shared" si="26"/>
        <v/>
      </c>
      <c r="KV55" s="80" t="str">
        <f t="shared" si="26"/>
        <v/>
      </c>
      <c r="KW55" s="80" t="str">
        <f t="shared" si="26"/>
        <v/>
      </c>
      <c r="KX55" s="80" t="str">
        <f t="shared" si="26"/>
        <v/>
      </c>
      <c r="KY55" s="80" t="str">
        <f t="shared" si="26"/>
        <v/>
      </c>
      <c r="KZ55" s="80" t="str">
        <f t="shared" si="26"/>
        <v/>
      </c>
      <c r="LA55" s="80" t="str">
        <f t="shared" si="26"/>
        <v/>
      </c>
      <c r="LB55" s="80" t="str">
        <f t="shared" si="26"/>
        <v/>
      </c>
      <c r="LC55" s="80" t="str">
        <f t="shared" si="26"/>
        <v/>
      </c>
      <c r="LD55" s="80" t="str">
        <f t="shared" si="26"/>
        <v/>
      </c>
      <c r="LE55" s="80" t="str">
        <f t="shared" si="26"/>
        <v/>
      </c>
      <c r="LF55" s="80" t="str">
        <f t="shared" si="26"/>
        <v/>
      </c>
      <c r="LG55" s="80" t="str">
        <f t="shared" si="26"/>
        <v/>
      </c>
      <c r="LH55" s="80" t="str">
        <f t="shared" si="26"/>
        <v/>
      </c>
      <c r="LI55" s="80" t="str">
        <f t="shared" si="26"/>
        <v/>
      </c>
      <c r="LJ55" s="80" t="str">
        <f t="shared" si="26"/>
        <v/>
      </c>
      <c r="LK55" s="80" t="str">
        <f t="shared" si="26"/>
        <v/>
      </c>
      <c r="LL55" s="80" t="str">
        <f t="shared" si="26"/>
        <v/>
      </c>
      <c r="LM55" s="80" t="str">
        <f t="shared" si="26"/>
        <v/>
      </c>
      <c r="LN55" s="80" t="str">
        <f t="shared" si="26"/>
        <v/>
      </c>
      <c r="LO55" s="80" t="str">
        <f t="shared" si="26"/>
        <v/>
      </c>
      <c r="LP55" s="80" t="str">
        <f t="shared" si="26"/>
        <v/>
      </c>
      <c r="LQ55" s="80" t="str">
        <f t="shared" si="26"/>
        <v/>
      </c>
      <c r="LR55" s="80" t="str">
        <f t="shared" si="26"/>
        <v/>
      </c>
      <c r="LS55" s="80" t="str">
        <f t="shared" ref="LS55:OD55" si="27">IF(AND(LS54&gt;0, TEXT(LS8,"dddd")= $D$58),"True","")</f>
        <v/>
      </c>
      <c r="LT55" s="80" t="str">
        <f t="shared" si="27"/>
        <v/>
      </c>
      <c r="LU55" s="80" t="str">
        <f t="shared" si="27"/>
        <v/>
      </c>
      <c r="LV55" s="80" t="str">
        <f t="shared" si="27"/>
        <v/>
      </c>
      <c r="LW55" s="80" t="str">
        <f t="shared" si="27"/>
        <v/>
      </c>
      <c r="LX55" s="80" t="str">
        <f t="shared" si="27"/>
        <v/>
      </c>
      <c r="LY55" s="80" t="str">
        <f t="shared" si="27"/>
        <v/>
      </c>
      <c r="LZ55" s="80" t="str">
        <f t="shared" si="27"/>
        <v/>
      </c>
      <c r="MA55" s="80" t="str">
        <f t="shared" si="27"/>
        <v/>
      </c>
      <c r="MB55" s="80" t="str">
        <f t="shared" si="27"/>
        <v/>
      </c>
      <c r="MC55" s="80" t="str">
        <f t="shared" si="27"/>
        <v/>
      </c>
      <c r="MD55" s="80" t="str">
        <f t="shared" si="27"/>
        <v/>
      </c>
      <c r="ME55" s="80" t="str">
        <f t="shared" si="27"/>
        <v/>
      </c>
      <c r="MF55" s="80" t="str">
        <f t="shared" si="27"/>
        <v/>
      </c>
      <c r="MG55" s="80" t="str">
        <f t="shared" si="27"/>
        <v/>
      </c>
      <c r="MH55" s="80" t="str">
        <f t="shared" si="27"/>
        <v/>
      </c>
      <c r="MI55" s="80" t="str">
        <f t="shared" si="27"/>
        <v/>
      </c>
      <c r="MJ55" s="80" t="str">
        <f t="shared" si="27"/>
        <v/>
      </c>
      <c r="MK55" s="80" t="str">
        <f t="shared" si="27"/>
        <v/>
      </c>
      <c r="ML55" s="80" t="str">
        <f t="shared" si="27"/>
        <v/>
      </c>
      <c r="MM55" s="80" t="str">
        <f t="shared" si="27"/>
        <v/>
      </c>
      <c r="MN55" s="80" t="str">
        <f t="shared" si="27"/>
        <v/>
      </c>
      <c r="MO55" s="80" t="str">
        <f t="shared" si="27"/>
        <v/>
      </c>
      <c r="MP55" s="80" t="str">
        <f t="shared" si="27"/>
        <v/>
      </c>
      <c r="MQ55" s="80" t="str">
        <f t="shared" si="27"/>
        <v/>
      </c>
      <c r="MR55" s="80" t="str">
        <f t="shared" si="27"/>
        <v/>
      </c>
      <c r="MS55" s="80" t="str">
        <f t="shared" si="27"/>
        <v/>
      </c>
      <c r="MT55" s="80" t="str">
        <f t="shared" si="27"/>
        <v/>
      </c>
      <c r="MU55" s="80" t="str">
        <f t="shared" si="27"/>
        <v/>
      </c>
      <c r="MV55" s="80" t="str">
        <f t="shared" si="27"/>
        <v/>
      </c>
      <c r="MW55" s="80" t="str">
        <f t="shared" si="27"/>
        <v/>
      </c>
      <c r="MX55" s="80" t="str">
        <f t="shared" si="27"/>
        <v/>
      </c>
      <c r="MY55" s="80" t="str">
        <f t="shared" si="27"/>
        <v/>
      </c>
      <c r="MZ55" s="80" t="str">
        <f t="shared" si="27"/>
        <v/>
      </c>
      <c r="NA55" s="80" t="str">
        <f t="shared" si="27"/>
        <v/>
      </c>
      <c r="NB55" s="80" t="str">
        <f t="shared" si="27"/>
        <v/>
      </c>
      <c r="NC55" s="80" t="str">
        <f t="shared" si="27"/>
        <v/>
      </c>
      <c r="ND55" s="80" t="str">
        <f t="shared" si="27"/>
        <v/>
      </c>
      <c r="NE55" s="80" t="str">
        <f t="shared" si="27"/>
        <v/>
      </c>
      <c r="NF55" s="80" t="str">
        <f t="shared" si="27"/>
        <v/>
      </c>
      <c r="NG55" s="80" t="str">
        <f t="shared" si="27"/>
        <v/>
      </c>
      <c r="NH55" s="80" t="str">
        <f t="shared" si="27"/>
        <v/>
      </c>
      <c r="NI55" s="80" t="str">
        <f t="shared" si="27"/>
        <v/>
      </c>
      <c r="NJ55" s="80" t="str">
        <f t="shared" si="27"/>
        <v/>
      </c>
      <c r="NK55" s="80" t="str">
        <f t="shared" si="27"/>
        <v/>
      </c>
      <c r="NL55" s="80" t="str">
        <f t="shared" si="27"/>
        <v/>
      </c>
      <c r="NM55" s="80" t="str">
        <f t="shared" si="27"/>
        <v/>
      </c>
      <c r="NN55" s="80" t="str">
        <f t="shared" si="27"/>
        <v/>
      </c>
      <c r="NO55" s="80" t="str">
        <f t="shared" si="27"/>
        <v/>
      </c>
      <c r="NP55" s="80" t="str">
        <f t="shared" si="27"/>
        <v/>
      </c>
      <c r="NQ55" s="80" t="str">
        <f t="shared" si="27"/>
        <v/>
      </c>
      <c r="NR55" s="80" t="str">
        <f t="shared" si="27"/>
        <v/>
      </c>
      <c r="NS55" s="80" t="str">
        <f t="shared" si="27"/>
        <v/>
      </c>
      <c r="NT55" s="80" t="str">
        <f t="shared" si="27"/>
        <v/>
      </c>
      <c r="NU55" s="80" t="str">
        <f t="shared" si="27"/>
        <v/>
      </c>
      <c r="NV55" s="80" t="str">
        <f t="shared" si="27"/>
        <v/>
      </c>
      <c r="NW55" s="80" t="str">
        <f t="shared" si="27"/>
        <v/>
      </c>
      <c r="NX55" s="80" t="str">
        <f t="shared" si="27"/>
        <v/>
      </c>
      <c r="NY55" s="80" t="str">
        <f t="shared" si="27"/>
        <v/>
      </c>
      <c r="NZ55" s="80" t="str">
        <f t="shared" si="27"/>
        <v/>
      </c>
      <c r="OA55" s="80" t="str">
        <f t="shared" si="27"/>
        <v/>
      </c>
      <c r="OB55" s="80" t="str">
        <f t="shared" si="27"/>
        <v/>
      </c>
      <c r="OC55" s="80" t="str">
        <f t="shared" si="27"/>
        <v/>
      </c>
      <c r="OD55" s="80" t="str">
        <f t="shared" si="27"/>
        <v/>
      </c>
      <c r="OE55" s="80" t="str">
        <f t="shared" ref="OE55:QP55" si="28">IF(AND(OE54&gt;0, TEXT(OE8,"dddd")= $D$58),"True","")</f>
        <v/>
      </c>
      <c r="OF55" s="80" t="str">
        <f t="shared" si="28"/>
        <v/>
      </c>
      <c r="OG55" s="80" t="str">
        <f t="shared" si="28"/>
        <v/>
      </c>
      <c r="OH55" s="80" t="str">
        <f t="shared" si="28"/>
        <v/>
      </c>
      <c r="OI55" s="80" t="str">
        <f t="shared" si="28"/>
        <v/>
      </c>
      <c r="OJ55" s="80" t="str">
        <f t="shared" si="28"/>
        <v/>
      </c>
      <c r="OK55" s="80" t="str">
        <f t="shared" si="28"/>
        <v/>
      </c>
      <c r="OL55" s="80" t="str">
        <f t="shared" si="28"/>
        <v/>
      </c>
      <c r="OM55" s="80" t="str">
        <f t="shared" si="28"/>
        <v/>
      </c>
      <c r="ON55" s="80" t="str">
        <f t="shared" si="28"/>
        <v/>
      </c>
      <c r="OO55" s="80" t="str">
        <f t="shared" si="28"/>
        <v/>
      </c>
      <c r="OP55" s="80" t="str">
        <f t="shared" si="28"/>
        <v/>
      </c>
      <c r="OQ55" s="80" t="str">
        <f t="shared" si="28"/>
        <v/>
      </c>
      <c r="OR55" s="80" t="str">
        <f t="shared" si="28"/>
        <v/>
      </c>
      <c r="OS55" s="80" t="str">
        <f t="shared" si="28"/>
        <v/>
      </c>
      <c r="OT55" s="80" t="str">
        <f t="shared" si="28"/>
        <v/>
      </c>
      <c r="OU55" s="80" t="str">
        <f t="shared" si="28"/>
        <v/>
      </c>
      <c r="OV55" s="80" t="str">
        <f t="shared" si="28"/>
        <v/>
      </c>
      <c r="OW55" s="80" t="str">
        <f t="shared" si="28"/>
        <v/>
      </c>
      <c r="OX55" s="80" t="str">
        <f t="shared" si="28"/>
        <v/>
      </c>
      <c r="OY55" s="80" t="str">
        <f t="shared" si="28"/>
        <v/>
      </c>
      <c r="OZ55" s="80" t="str">
        <f t="shared" si="28"/>
        <v/>
      </c>
      <c r="PA55" s="80" t="str">
        <f t="shared" si="28"/>
        <v/>
      </c>
      <c r="PB55" s="80" t="str">
        <f t="shared" si="28"/>
        <v/>
      </c>
      <c r="PC55" s="80" t="str">
        <f t="shared" si="28"/>
        <v/>
      </c>
      <c r="PD55" s="80" t="str">
        <f t="shared" si="28"/>
        <v/>
      </c>
      <c r="PE55" s="80" t="str">
        <f t="shared" si="28"/>
        <v/>
      </c>
      <c r="PF55" s="80" t="str">
        <f t="shared" si="28"/>
        <v/>
      </c>
      <c r="PG55" s="80" t="str">
        <f t="shared" si="28"/>
        <v/>
      </c>
      <c r="PH55" s="80" t="str">
        <f t="shared" si="28"/>
        <v/>
      </c>
      <c r="PI55" s="80" t="str">
        <f t="shared" si="28"/>
        <v/>
      </c>
      <c r="PJ55" s="80" t="str">
        <f t="shared" si="28"/>
        <v/>
      </c>
      <c r="PK55" s="80" t="str">
        <f t="shared" si="28"/>
        <v/>
      </c>
      <c r="PL55" s="80" t="str">
        <f t="shared" si="28"/>
        <v/>
      </c>
      <c r="PM55" s="80" t="str">
        <f t="shared" si="28"/>
        <v/>
      </c>
      <c r="PN55" s="80" t="str">
        <f t="shared" si="28"/>
        <v/>
      </c>
      <c r="PO55" s="80" t="str">
        <f t="shared" si="28"/>
        <v/>
      </c>
      <c r="PP55" s="80" t="str">
        <f t="shared" si="28"/>
        <v/>
      </c>
      <c r="PQ55" s="80" t="str">
        <f t="shared" si="28"/>
        <v/>
      </c>
      <c r="PR55" s="80" t="str">
        <f t="shared" si="28"/>
        <v/>
      </c>
      <c r="PS55" s="80" t="str">
        <f t="shared" si="28"/>
        <v/>
      </c>
      <c r="PT55" s="80" t="str">
        <f t="shared" si="28"/>
        <v/>
      </c>
      <c r="PU55" s="80" t="str">
        <f t="shared" si="28"/>
        <v/>
      </c>
      <c r="PV55" s="80" t="str">
        <f t="shared" si="28"/>
        <v/>
      </c>
      <c r="PW55" s="80" t="str">
        <f t="shared" si="28"/>
        <v/>
      </c>
      <c r="PX55" s="80" t="str">
        <f t="shared" si="28"/>
        <v/>
      </c>
      <c r="PY55" s="80" t="str">
        <f t="shared" si="28"/>
        <v/>
      </c>
      <c r="PZ55" s="80" t="str">
        <f t="shared" si="28"/>
        <v/>
      </c>
      <c r="QA55" s="80" t="str">
        <f t="shared" si="28"/>
        <v/>
      </c>
      <c r="QB55" s="80" t="str">
        <f t="shared" si="28"/>
        <v/>
      </c>
      <c r="QC55" s="80" t="str">
        <f t="shared" si="28"/>
        <v/>
      </c>
      <c r="QD55" s="80" t="str">
        <f t="shared" si="28"/>
        <v/>
      </c>
      <c r="QE55" s="80" t="str">
        <f t="shared" si="28"/>
        <v/>
      </c>
      <c r="QF55" s="80" t="str">
        <f t="shared" si="28"/>
        <v/>
      </c>
      <c r="QG55" s="80" t="str">
        <f t="shared" si="28"/>
        <v/>
      </c>
      <c r="QH55" s="80" t="str">
        <f t="shared" si="28"/>
        <v/>
      </c>
      <c r="QI55" s="80" t="str">
        <f t="shared" si="28"/>
        <v/>
      </c>
      <c r="QJ55" s="80" t="str">
        <f t="shared" si="28"/>
        <v/>
      </c>
      <c r="QK55" s="80" t="str">
        <f t="shared" si="28"/>
        <v/>
      </c>
      <c r="QL55" s="80" t="str">
        <f t="shared" si="28"/>
        <v/>
      </c>
      <c r="QM55" s="80" t="str">
        <f t="shared" si="28"/>
        <v/>
      </c>
      <c r="QN55" s="80" t="str">
        <f t="shared" si="28"/>
        <v/>
      </c>
      <c r="QO55" s="80" t="str">
        <f t="shared" si="28"/>
        <v/>
      </c>
      <c r="QP55" s="80" t="str">
        <f t="shared" si="28"/>
        <v/>
      </c>
      <c r="QQ55" s="80" t="str">
        <f t="shared" ref="QQ55:SC55" si="29">IF(AND(QQ54&gt;0, TEXT(QQ8,"dddd")= $D$58),"True","")</f>
        <v/>
      </c>
      <c r="QR55" s="80" t="str">
        <f t="shared" si="29"/>
        <v/>
      </c>
      <c r="QS55" s="80" t="str">
        <f t="shared" si="29"/>
        <v/>
      </c>
      <c r="QT55" s="80" t="str">
        <f t="shared" si="29"/>
        <v/>
      </c>
      <c r="QU55" s="80" t="str">
        <f t="shared" si="29"/>
        <v/>
      </c>
      <c r="QV55" s="80" t="str">
        <f t="shared" si="29"/>
        <v/>
      </c>
      <c r="QW55" s="80" t="str">
        <f t="shared" si="29"/>
        <v/>
      </c>
      <c r="QX55" s="80" t="str">
        <f t="shared" si="29"/>
        <v/>
      </c>
      <c r="QY55" s="80" t="str">
        <f t="shared" si="29"/>
        <v/>
      </c>
      <c r="QZ55" s="80" t="str">
        <f t="shared" si="29"/>
        <v/>
      </c>
      <c r="RA55" s="80" t="str">
        <f t="shared" si="29"/>
        <v/>
      </c>
      <c r="RB55" s="80" t="str">
        <f t="shared" si="29"/>
        <v/>
      </c>
      <c r="RC55" s="80" t="str">
        <f t="shared" si="29"/>
        <v/>
      </c>
      <c r="RD55" s="80" t="str">
        <f t="shared" si="29"/>
        <v/>
      </c>
      <c r="RE55" s="80" t="str">
        <f t="shared" si="29"/>
        <v/>
      </c>
      <c r="RF55" s="80" t="str">
        <f t="shared" si="29"/>
        <v/>
      </c>
      <c r="RG55" s="80" t="str">
        <f t="shared" si="29"/>
        <v/>
      </c>
      <c r="RH55" s="80" t="str">
        <f t="shared" si="29"/>
        <v/>
      </c>
      <c r="RI55" s="80" t="str">
        <f t="shared" si="29"/>
        <v/>
      </c>
      <c r="RJ55" s="80" t="str">
        <f t="shared" si="29"/>
        <v/>
      </c>
      <c r="RK55" s="80" t="str">
        <f t="shared" si="29"/>
        <v/>
      </c>
      <c r="RL55" s="80" t="str">
        <f t="shared" si="29"/>
        <v/>
      </c>
      <c r="RM55" s="80" t="str">
        <f t="shared" si="29"/>
        <v/>
      </c>
      <c r="RN55" s="80" t="str">
        <f t="shared" si="29"/>
        <v/>
      </c>
      <c r="RO55" s="80" t="str">
        <f t="shared" si="29"/>
        <v/>
      </c>
      <c r="RP55" s="80" t="str">
        <f t="shared" si="29"/>
        <v/>
      </c>
      <c r="RQ55" s="80" t="str">
        <f t="shared" si="29"/>
        <v/>
      </c>
      <c r="RR55" s="80" t="str">
        <f t="shared" si="29"/>
        <v/>
      </c>
      <c r="RS55" s="80" t="str">
        <f t="shared" si="29"/>
        <v/>
      </c>
      <c r="RT55" s="80" t="str">
        <f t="shared" si="29"/>
        <v/>
      </c>
      <c r="RU55" s="80" t="str">
        <f t="shared" si="29"/>
        <v/>
      </c>
      <c r="RV55" s="80" t="str">
        <f t="shared" si="29"/>
        <v/>
      </c>
      <c r="RW55" s="80" t="str">
        <f t="shared" si="29"/>
        <v/>
      </c>
      <c r="RX55" s="80" t="str">
        <f t="shared" si="29"/>
        <v/>
      </c>
      <c r="RY55" s="80" t="str">
        <f t="shared" si="29"/>
        <v/>
      </c>
      <c r="RZ55" s="80" t="str">
        <f t="shared" si="29"/>
        <v/>
      </c>
      <c r="SA55" s="80" t="str">
        <f t="shared" si="29"/>
        <v/>
      </c>
      <c r="SB55" s="80" t="str">
        <f t="shared" si="29"/>
        <v/>
      </c>
      <c r="SC55" s="80" t="str">
        <f t="shared" si="29"/>
        <v/>
      </c>
    </row>
    <row r="56" spans="1:497" ht="27" hidden="1" customHeight="1" x14ac:dyDescent="0.15">
      <c r="A56" s="79"/>
      <c r="B56" s="79"/>
      <c r="C56" s="79"/>
      <c r="D56" s="75"/>
      <c r="E56" s="75"/>
      <c r="F56" s="93"/>
      <c r="G56" s="93"/>
      <c r="H56" s="80">
        <f t="shared" ref="H56:BS56" si="30">IF(AND(H54="True",H55 ="", TEXT(H8,"dddd")&lt;&gt; $D$58),0,IF(G53=H53,0,1))</f>
        <v>0</v>
      </c>
      <c r="I56" s="80">
        <f t="shared" si="30"/>
        <v>0</v>
      </c>
      <c r="J56" s="80">
        <f t="shared" si="30"/>
        <v>0</v>
      </c>
      <c r="K56" s="80">
        <f t="shared" si="30"/>
        <v>0</v>
      </c>
      <c r="L56" s="80">
        <f t="shared" si="30"/>
        <v>0</v>
      </c>
      <c r="M56" s="80">
        <f t="shared" si="30"/>
        <v>0</v>
      </c>
      <c r="N56" s="80">
        <f t="shared" si="30"/>
        <v>0</v>
      </c>
      <c r="O56" s="80">
        <f t="shared" si="30"/>
        <v>0</v>
      </c>
      <c r="P56" s="80">
        <f t="shared" si="30"/>
        <v>0</v>
      </c>
      <c r="Q56" s="80">
        <f t="shared" si="30"/>
        <v>0</v>
      </c>
      <c r="R56" s="80">
        <f t="shared" si="30"/>
        <v>0</v>
      </c>
      <c r="S56" s="80">
        <f t="shared" si="30"/>
        <v>0</v>
      </c>
      <c r="T56" s="80">
        <f t="shared" si="30"/>
        <v>0</v>
      </c>
      <c r="U56" s="80">
        <f t="shared" si="30"/>
        <v>0</v>
      </c>
      <c r="V56" s="80">
        <f t="shared" si="30"/>
        <v>0</v>
      </c>
      <c r="W56" s="80">
        <f t="shared" si="30"/>
        <v>0</v>
      </c>
      <c r="X56" s="80">
        <f t="shared" si="30"/>
        <v>0</v>
      </c>
      <c r="Y56" s="80">
        <f t="shared" si="30"/>
        <v>0</v>
      </c>
      <c r="Z56" s="80">
        <f t="shared" si="30"/>
        <v>0</v>
      </c>
      <c r="AA56" s="80">
        <f t="shared" si="30"/>
        <v>0</v>
      </c>
      <c r="AB56" s="80">
        <f t="shared" si="30"/>
        <v>0</v>
      </c>
      <c r="AC56" s="80">
        <f t="shared" si="30"/>
        <v>0</v>
      </c>
      <c r="AD56" s="80">
        <f t="shared" si="30"/>
        <v>0</v>
      </c>
      <c r="AE56" s="80">
        <f t="shared" si="30"/>
        <v>0</v>
      </c>
      <c r="AF56" s="80">
        <f t="shared" si="30"/>
        <v>0</v>
      </c>
      <c r="AG56" s="80">
        <f t="shared" si="30"/>
        <v>0</v>
      </c>
      <c r="AH56" s="80">
        <f t="shared" si="30"/>
        <v>0</v>
      </c>
      <c r="AI56" s="80">
        <f t="shared" si="30"/>
        <v>0</v>
      </c>
      <c r="AJ56" s="80">
        <f t="shared" si="30"/>
        <v>0</v>
      </c>
      <c r="AK56" s="80">
        <f t="shared" si="30"/>
        <v>0</v>
      </c>
      <c r="AL56" s="80">
        <f t="shared" si="30"/>
        <v>0</v>
      </c>
      <c r="AM56" s="80">
        <f t="shared" si="30"/>
        <v>0</v>
      </c>
      <c r="AN56" s="80">
        <f t="shared" si="30"/>
        <v>0</v>
      </c>
      <c r="AO56" s="80">
        <f t="shared" si="30"/>
        <v>0</v>
      </c>
      <c r="AP56" s="80">
        <f t="shared" si="30"/>
        <v>0</v>
      </c>
      <c r="AQ56" s="80">
        <f t="shared" si="30"/>
        <v>0</v>
      </c>
      <c r="AR56" s="80">
        <f t="shared" si="30"/>
        <v>0</v>
      </c>
      <c r="AS56" s="80">
        <f t="shared" si="30"/>
        <v>0</v>
      </c>
      <c r="AT56" s="80">
        <f t="shared" si="30"/>
        <v>0</v>
      </c>
      <c r="AU56" s="80">
        <f t="shared" si="30"/>
        <v>0</v>
      </c>
      <c r="AV56" s="80">
        <f t="shared" si="30"/>
        <v>0</v>
      </c>
      <c r="AW56" s="80">
        <f t="shared" si="30"/>
        <v>0</v>
      </c>
      <c r="AX56" s="80">
        <f t="shared" si="30"/>
        <v>0</v>
      </c>
      <c r="AY56" s="80">
        <f t="shared" si="30"/>
        <v>0</v>
      </c>
      <c r="AZ56" s="80">
        <f t="shared" si="30"/>
        <v>0</v>
      </c>
      <c r="BA56" s="80">
        <f t="shared" si="30"/>
        <v>0</v>
      </c>
      <c r="BB56" s="80">
        <f t="shared" si="30"/>
        <v>0</v>
      </c>
      <c r="BC56" s="80">
        <f t="shared" si="30"/>
        <v>0</v>
      </c>
      <c r="BD56" s="80">
        <f t="shared" si="30"/>
        <v>0</v>
      </c>
      <c r="BE56" s="80">
        <f t="shared" si="30"/>
        <v>0</v>
      </c>
      <c r="BF56" s="80">
        <f t="shared" si="30"/>
        <v>0</v>
      </c>
      <c r="BG56" s="80">
        <f t="shared" si="30"/>
        <v>0</v>
      </c>
      <c r="BH56" s="80">
        <f t="shared" si="30"/>
        <v>0</v>
      </c>
      <c r="BI56" s="80">
        <f t="shared" si="30"/>
        <v>0</v>
      </c>
      <c r="BJ56" s="80">
        <f t="shared" si="30"/>
        <v>0</v>
      </c>
      <c r="BK56" s="80">
        <f t="shared" si="30"/>
        <v>0</v>
      </c>
      <c r="BL56" s="80">
        <f t="shared" si="30"/>
        <v>0</v>
      </c>
      <c r="BM56" s="80">
        <f t="shared" si="30"/>
        <v>0</v>
      </c>
      <c r="BN56" s="80">
        <f t="shared" si="30"/>
        <v>0</v>
      </c>
      <c r="BO56" s="80">
        <f t="shared" si="30"/>
        <v>0</v>
      </c>
      <c r="BP56" s="80">
        <f t="shared" si="30"/>
        <v>0</v>
      </c>
      <c r="BQ56" s="80">
        <f t="shared" si="30"/>
        <v>0</v>
      </c>
      <c r="BR56" s="80">
        <f t="shared" si="30"/>
        <v>0</v>
      </c>
      <c r="BS56" s="80">
        <f t="shared" si="30"/>
        <v>0</v>
      </c>
      <c r="BT56" s="80">
        <f t="shared" ref="BT56:EE56" si="31">IF(AND(BT54="True",BT55 ="", TEXT(BT8,"dddd")&lt;&gt; $D$58),0,IF(BS53=BT53,0,1))</f>
        <v>0</v>
      </c>
      <c r="BU56" s="80">
        <f t="shared" si="31"/>
        <v>0</v>
      </c>
      <c r="BV56" s="80">
        <f t="shared" si="31"/>
        <v>0</v>
      </c>
      <c r="BW56" s="80">
        <f t="shared" si="31"/>
        <v>0</v>
      </c>
      <c r="BX56" s="80">
        <f t="shared" si="31"/>
        <v>0</v>
      </c>
      <c r="BY56" s="80">
        <f t="shared" si="31"/>
        <v>0</v>
      </c>
      <c r="BZ56" s="80">
        <f t="shared" si="31"/>
        <v>0</v>
      </c>
      <c r="CA56" s="80">
        <f t="shared" si="31"/>
        <v>0</v>
      </c>
      <c r="CB56" s="80">
        <f t="shared" si="31"/>
        <v>0</v>
      </c>
      <c r="CC56" s="80">
        <f t="shared" si="31"/>
        <v>0</v>
      </c>
      <c r="CD56" s="80">
        <f t="shared" si="31"/>
        <v>0</v>
      </c>
      <c r="CE56" s="80">
        <f t="shared" si="31"/>
        <v>0</v>
      </c>
      <c r="CF56" s="80">
        <f t="shared" si="31"/>
        <v>0</v>
      </c>
      <c r="CG56" s="80">
        <f t="shared" si="31"/>
        <v>0</v>
      </c>
      <c r="CH56" s="80">
        <f t="shared" si="31"/>
        <v>0</v>
      </c>
      <c r="CI56" s="80">
        <f t="shared" si="31"/>
        <v>0</v>
      </c>
      <c r="CJ56" s="80">
        <f t="shared" si="31"/>
        <v>0</v>
      </c>
      <c r="CK56" s="80">
        <f t="shared" si="31"/>
        <v>0</v>
      </c>
      <c r="CL56" s="80">
        <f t="shared" si="31"/>
        <v>0</v>
      </c>
      <c r="CM56" s="80">
        <f t="shared" si="31"/>
        <v>0</v>
      </c>
      <c r="CN56" s="80">
        <f t="shared" si="31"/>
        <v>0</v>
      </c>
      <c r="CO56" s="80">
        <f t="shared" si="31"/>
        <v>0</v>
      </c>
      <c r="CP56" s="80">
        <f t="shared" si="31"/>
        <v>0</v>
      </c>
      <c r="CQ56" s="80">
        <f t="shared" si="31"/>
        <v>0</v>
      </c>
      <c r="CR56" s="80">
        <f t="shared" si="31"/>
        <v>0</v>
      </c>
      <c r="CS56" s="80">
        <f t="shared" si="31"/>
        <v>0</v>
      </c>
      <c r="CT56" s="80">
        <f t="shared" si="31"/>
        <v>0</v>
      </c>
      <c r="CU56" s="80">
        <f t="shared" si="31"/>
        <v>0</v>
      </c>
      <c r="CV56" s="80">
        <f t="shared" si="31"/>
        <v>0</v>
      </c>
      <c r="CW56" s="80">
        <f t="shared" si="31"/>
        <v>0</v>
      </c>
      <c r="CX56" s="80">
        <f t="shared" si="31"/>
        <v>0</v>
      </c>
      <c r="CY56" s="80">
        <f t="shared" si="31"/>
        <v>0</v>
      </c>
      <c r="CZ56" s="80">
        <f t="shared" si="31"/>
        <v>0</v>
      </c>
      <c r="DA56" s="80">
        <f t="shared" si="31"/>
        <v>0</v>
      </c>
      <c r="DB56" s="80">
        <f t="shared" si="31"/>
        <v>0</v>
      </c>
      <c r="DC56" s="80">
        <f t="shared" si="31"/>
        <v>0</v>
      </c>
      <c r="DD56" s="80">
        <f t="shared" si="31"/>
        <v>0</v>
      </c>
      <c r="DE56" s="80">
        <f t="shared" si="31"/>
        <v>0</v>
      </c>
      <c r="DF56" s="80">
        <f t="shared" si="31"/>
        <v>0</v>
      </c>
      <c r="DG56" s="80">
        <f t="shared" si="31"/>
        <v>0</v>
      </c>
      <c r="DH56" s="80">
        <f t="shared" si="31"/>
        <v>0</v>
      </c>
      <c r="DI56" s="80">
        <f t="shared" si="31"/>
        <v>0</v>
      </c>
      <c r="DJ56" s="80">
        <f t="shared" si="31"/>
        <v>0</v>
      </c>
      <c r="DK56" s="80">
        <f t="shared" si="31"/>
        <v>0</v>
      </c>
      <c r="DL56" s="80">
        <f t="shared" si="31"/>
        <v>0</v>
      </c>
      <c r="DM56" s="80">
        <f t="shared" si="31"/>
        <v>0</v>
      </c>
      <c r="DN56" s="80">
        <f t="shared" si="31"/>
        <v>0</v>
      </c>
      <c r="DO56" s="80">
        <f t="shared" si="31"/>
        <v>0</v>
      </c>
      <c r="DP56" s="80">
        <f t="shared" si="31"/>
        <v>0</v>
      </c>
      <c r="DQ56" s="80">
        <f t="shared" si="31"/>
        <v>0</v>
      </c>
      <c r="DR56" s="80">
        <f t="shared" si="31"/>
        <v>0</v>
      </c>
      <c r="DS56" s="80">
        <f t="shared" si="31"/>
        <v>0</v>
      </c>
      <c r="DT56" s="80">
        <f t="shared" si="31"/>
        <v>0</v>
      </c>
      <c r="DU56" s="80">
        <f t="shared" si="31"/>
        <v>0</v>
      </c>
      <c r="DV56" s="80">
        <f t="shared" si="31"/>
        <v>0</v>
      </c>
      <c r="DW56" s="80">
        <f t="shared" si="31"/>
        <v>0</v>
      </c>
      <c r="DX56" s="80">
        <f t="shared" si="31"/>
        <v>0</v>
      </c>
      <c r="DY56" s="80">
        <f t="shared" si="31"/>
        <v>0</v>
      </c>
      <c r="DZ56" s="80">
        <f t="shared" si="31"/>
        <v>0</v>
      </c>
      <c r="EA56" s="80">
        <f t="shared" si="31"/>
        <v>0</v>
      </c>
      <c r="EB56" s="80">
        <f t="shared" si="31"/>
        <v>0</v>
      </c>
      <c r="EC56" s="80">
        <f t="shared" si="31"/>
        <v>0</v>
      </c>
      <c r="ED56" s="80">
        <f t="shared" si="31"/>
        <v>0</v>
      </c>
      <c r="EE56" s="80">
        <f t="shared" si="31"/>
        <v>0</v>
      </c>
      <c r="EF56" s="80">
        <f t="shared" ref="EF56:GQ56" si="32">IF(AND(EF54="True",EF55 ="", TEXT(EF8,"dddd")&lt;&gt; $D$58),0,IF(EE53=EF53,0,1))</f>
        <v>0</v>
      </c>
      <c r="EG56" s="80">
        <f t="shared" si="32"/>
        <v>0</v>
      </c>
      <c r="EH56" s="80">
        <f t="shared" si="32"/>
        <v>0</v>
      </c>
      <c r="EI56" s="80">
        <f t="shared" si="32"/>
        <v>0</v>
      </c>
      <c r="EJ56" s="80">
        <f t="shared" si="32"/>
        <v>0</v>
      </c>
      <c r="EK56" s="80">
        <f t="shared" si="32"/>
        <v>0</v>
      </c>
      <c r="EL56" s="80">
        <f t="shared" si="32"/>
        <v>0</v>
      </c>
      <c r="EM56" s="80">
        <f t="shared" si="32"/>
        <v>0</v>
      </c>
      <c r="EN56" s="80">
        <f t="shared" si="32"/>
        <v>0</v>
      </c>
      <c r="EO56" s="80">
        <f t="shared" si="32"/>
        <v>0</v>
      </c>
      <c r="EP56" s="80">
        <f t="shared" si="32"/>
        <v>0</v>
      </c>
      <c r="EQ56" s="80">
        <f t="shared" si="32"/>
        <v>0</v>
      </c>
      <c r="ER56" s="80">
        <f t="shared" si="32"/>
        <v>0</v>
      </c>
      <c r="ES56" s="80">
        <f t="shared" si="32"/>
        <v>0</v>
      </c>
      <c r="ET56" s="80">
        <f t="shared" si="32"/>
        <v>0</v>
      </c>
      <c r="EU56" s="80">
        <f t="shared" si="32"/>
        <v>0</v>
      </c>
      <c r="EV56" s="80">
        <f t="shared" si="32"/>
        <v>0</v>
      </c>
      <c r="EW56" s="80">
        <f t="shared" si="32"/>
        <v>0</v>
      </c>
      <c r="EX56" s="80">
        <f t="shared" si="32"/>
        <v>0</v>
      </c>
      <c r="EY56" s="80">
        <f t="shared" si="32"/>
        <v>0</v>
      </c>
      <c r="EZ56" s="80">
        <f t="shared" si="32"/>
        <v>0</v>
      </c>
      <c r="FA56" s="80">
        <f t="shared" si="32"/>
        <v>0</v>
      </c>
      <c r="FB56" s="80">
        <f t="shared" si="32"/>
        <v>0</v>
      </c>
      <c r="FC56" s="80">
        <f t="shared" si="32"/>
        <v>0</v>
      </c>
      <c r="FD56" s="80">
        <f t="shared" si="32"/>
        <v>0</v>
      </c>
      <c r="FE56" s="80">
        <f t="shared" si="32"/>
        <v>0</v>
      </c>
      <c r="FF56" s="80">
        <f t="shared" si="32"/>
        <v>0</v>
      </c>
      <c r="FG56" s="80">
        <f t="shared" si="32"/>
        <v>0</v>
      </c>
      <c r="FH56" s="80">
        <f t="shared" si="32"/>
        <v>0</v>
      </c>
      <c r="FI56" s="80">
        <f t="shared" si="32"/>
        <v>0</v>
      </c>
      <c r="FJ56" s="80">
        <f t="shared" si="32"/>
        <v>0</v>
      </c>
      <c r="FK56" s="80">
        <f t="shared" si="32"/>
        <v>0</v>
      </c>
      <c r="FL56" s="80">
        <f t="shared" si="32"/>
        <v>0</v>
      </c>
      <c r="FM56" s="80">
        <f t="shared" si="32"/>
        <v>0</v>
      </c>
      <c r="FN56" s="80">
        <f t="shared" si="32"/>
        <v>0</v>
      </c>
      <c r="FO56" s="80">
        <f t="shared" si="32"/>
        <v>0</v>
      </c>
      <c r="FP56" s="80">
        <f t="shared" si="32"/>
        <v>0</v>
      </c>
      <c r="FQ56" s="80">
        <f t="shared" si="32"/>
        <v>0</v>
      </c>
      <c r="FR56" s="80">
        <f t="shared" si="32"/>
        <v>0</v>
      </c>
      <c r="FS56" s="80">
        <f t="shared" si="32"/>
        <v>0</v>
      </c>
      <c r="FT56" s="80">
        <f t="shared" si="32"/>
        <v>0</v>
      </c>
      <c r="FU56" s="80">
        <f t="shared" si="32"/>
        <v>0</v>
      </c>
      <c r="FV56" s="80">
        <f t="shared" si="32"/>
        <v>0</v>
      </c>
      <c r="FW56" s="80">
        <f t="shared" si="32"/>
        <v>0</v>
      </c>
      <c r="FX56" s="80">
        <f t="shared" si="32"/>
        <v>0</v>
      </c>
      <c r="FY56" s="80">
        <f t="shared" si="32"/>
        <v>0</v>
      </c>
      <c r="FZ56" s="80">
        <f t="shared" si="32"/>
        <v>0</v>
      </c>
      <c r="GA56" s="80">
        <f t="shared" si="32"/>
        <v>0</v>
      </c>
      <c r="GB56" s="80">
        <f t="shared" si="32"/>
        <v>0</v>
      </c>
      <c r="GC56" s="80">
        <f t="shared" si="32"/>
        <v>0</v>
      </c>
      <c r="GD56" s="80">
        <f t="shared" si="32"/>
        <v>0</v>
      </c>
      <c r="GE56" s="80">
        <f t="shared" si="32"/>
        <v>0</v>
      </c>
      <c r="GF56" s="80">
        <f t="shared" si="32"/>
        <v>0</v>
      </c>
      <c r="GG56" s="80">
        <f t="shared" si="32"/>
        <v>0</v>
      </c>
      <c r="GH56" s="80">
        <f t="shared" si="32"/>
        <v>0</v>
      </c>
      <c r="GI56" s="80">
        <f t="shared" si="32"/>
        <v>0</v>
      </c>
      <c r="GJ56" s="80">
        <f t="shared" si="32"/>
        <v>0</v>
      </c>
      <c r="GK56" s="80">
        <f t="shared" si="32"/>
        <v>0</v>
      </c>
      <c r="GL56" s="80">
        <f t="shared" si="32"/>
        <v>0</v>
      </c>
      <c r="GM56" s="80">
        <f t="shared" si="32"/>
        <v>0</v>
      </c>
      <c r="GN56" s="80">
        <f t="shared" si="32"/>
        <v>0</v>
      </c>
      <c r="GO56" s="80">
        <f t="shared" si="32"/>
        <v>0</v>
      </c>
      <c r="GP56" s="80">
        <f t="shared" si="32"/>
        <v>0</v>
      </c>
      <c r="GQ56" s="80">
        <f t="shared" si="32"/>
        <v>0</v>
      </c>
      <c r="GR56" s="80">
        <f t="shared" ref="GR56:JC56" si="33">IF(AND(GR54="True",GR55 ="", TEXT(GR8,"dddd")&lt;&gt; $D$58),0,IF(GQ53=GR53,0,1))</f>
        <v>0</v>
      </c>
      <c r="GS56" s="80">
        <f t="shared" si="33"/>
        <v>0</v>
      </c>
      <c r="GT56" s="80">
        <f t="shared" si="33"/>
        <v>0</v>
      </c>
      <c r="GU56" s="80">
        <f t="shared" si="33"/>
        <v>0</v>
      </c>
      <c r="GV56" s="80">
        <f t="shared" si="33"/>
        <v>0</v>
      </c>
      <c r="GW56" s="80">
        <f t="shared" si="33"/>
        <v>0</v>
      </c>
      <c r="GX56" s="80">
        <f t="shared" si="33"/>
        <v>0</v>
      </c>
      <c r="GY56" s="80">
        <f t="shared" si="33"/>
        <v>0</v>
      </c>
      <c r="GZ56" s="80">
        <f t="shared" si="33"/>
        <v>0</v>
      </c>
      <c r="HA56" s="80">
        <f t="shared" si="33"/>
        <v>0</v>
      </c>
      <c r="HB56" s="80">
        <f t="shared" si="33"/>
        <v>0</v>
      </c>
      <c r="HC56" s="80">
        <f t="shared" si="33"/>
        <v>0</v>
      </c>
      <c r="HD56" s="80">
        <f t="shared" si="33"/>
        <v>0</v>
      </c>
      <c r="HE56" s="80">
        <f t="shared" si="33"/>
        <v>0</v>
      </c>
      <c r="HF56" s="80">
        <f t="shared" si="33"/>
        <v>0</v>
      </c>
      <c r="HG56" s="80">
        <f t="shared" si="33"/>
        <v>0</v>
      </c>
      <c r="HH56" s="80">
        <f t="shared" si="33"/>
        <v>0</v>
      </c>
      <c r="HI56" s="80">
        <f t="shared" si="33"/>
        <v>0</v>
      </c>
      <c r="HJ56" s="80">
        <f t="shared" si="33"/>
        <v>0</v>
      </c>
      <c r="HK56" s="80">
        <f t="shared" si="33"/>
        <v>0</v>
      </c>
      <c r="HL56" s="80">
        <f t="shared" si="33"/>
        <v>0</v>
      </c>
      <c r="HM56" s="80">
        <f t="shared" si="33"/>
        <v>0</v>
      </c>
      <c r="HN56" s="80">
        <f t="shared" si="33"/>
        <v>0</v>
      </c>
      <c r="HO56" s="80">
        <f t="shared" si="33"/>
        <v>0</v>
      </c>
      <c r="HP56" s="80">
        <f t="shared" si="33"/>
        <v>0</v>
      </c>
      <c r="HQ56" s="80">
        <f t="shared" si="33"/>
        <v>0</v>
      </c>
      <c r="HR56" s="80">
        <f t="shared" si="33"/>
        <v>0</v>
      </c>
      <c r="HS56" s="80">
        <f t="shared" si="33"/>
        <v>0</v>
      </c>
      <c r="HT56" s="80">
        <f t="shared" si="33"/>
        <v>0</v>
      </c>
      <c r="HU56" s="80">
        <f t="shared" si="33"/>
        <v>0</v>
      </c>
      <c r="HV56" s="80">
        <f t="shared" si="33"/>
        <v>0</v>
      </c>
      <c r="HW56" s="80">
        <f t="shared" si="33"/>
        <v>0</v>
      </c>
      <c r="HX56" s="80">
        <f t="shared" si="33"/>
        <v>0</v>
      </c>
      <c r="HY56" s="80">
        <f t="shared" si="33"/>
        <v>0</v>
      </c>
      <c r="HZ56" s="80">
        <f t="shared" si="33"/>
        <v>0</v>
      </c>
      <c r="IA56" s="80">
        <f t="shared" si="33"/>
        <v>0</v>
      </c>
      <c r="IB56" s="80">
        <f t="shared" si="33"/>
        <v>0</v>
      </c>
      <c r="IC56" s="80">
        <f t="shared" si="33"/>
        <v>0</v>
      </c>
      <c r="ID56" s="80">
        <f t="shared" si="33"/>
        <v>0</v>
      </c>
      <c r="IE56" s="80">
        <f t="shared" si="33"/>
        <v>0</v>
      </c>
      <c r="IF56" s="80">
        <f t="shared" si="33"/>
        <v>0</v>
      </c>
      <c r="IG56" s="80">
        <f t="shared" si="33"/>
        <v>0</v>
      </c>
      <c r="IH56" s="80">
        <f t="shared" si="33"/>
        <v>0</v>
      </c>
      <c r="II56" s="80">
        <f t="shared" si="33"/>
        <v>0</v>
      </c>
      <c r="IJ56" s="80">
        <f t="shared" si="33"/>
        <v>0</v>
      </c>
      <c r="IK56" s="80">
        <f t="shared" si="33"/>
        <v>0</v>
      </c>
      <c r="IL56" s="80">
        <f t="shared" si="33"/>
        <v>0</v>
      </c>
      <c r="IM56" s="80">
        <f t="shared" si="33"/>
        <v>0</v>
      </c>
      <c r="IN56" s="80">
        <f t="shared" si="33"/>
        <v>0</v>
      </c>
      <c r="IO56" s="80">
        <f t="shared" si="33"/>
        <v>0</v>
      </c>
      <c r="IP56" s="80">
        <f t="shared" si="33"/>
        <v>0</v>
      </c>
      <c r="IQ56" s="80">
        <f t="shared" si="33"/>
        <v>0</v>
      </c>
      <c r="IR56" s="80">
        <f t="shared" si="33"/>
        <v>0</v>
      </c>
      <c r="IS56" s="80">
        <f t="shared" si="33"/>
        <v>0</v>
      </c>
      <c r="IT56" s="80">
        <f t="shared" si="33"/>
        <v>0</v>
      </c>
      <c r="IU56" s="80">
        <f t="shared" si="33"/>
        <v>0</v>
      </c>
      <c r="IV56" s="80">
        <f t="shared" si="33"/>
        <v>0</v>
      </c>
      <c r="IW56" s="80">
        <f t="shared" si="33"/>
        <v>0</v>
      </c>
      <c r="IX56" s="80">
        <f t="shared" si="33"/>
        <v>0</v>
      </c>
      <c r="IY56" s="80">
        <f t="shared" si="33"/>
        <v>0</v>
      </c>
      <c r="IZ56" s="80">
        <f t="shared" si="33"/>
        <v>0</v>
      </c>
      <c r="JA56" s="80">
        <f t="shared" si="33"/>
        <v>0</v>
      </c>
      <c r="JB56" s="80">
        <f t="shared" si="33"/>
        <v>0</v>
      </c>
      <c r="JC56" s="80">
        <f t="shared" si="33"/>
        <v>0</v>
      </c>
      <c r="JD56" s="80">
        <f t="shared" ref="JD56:LO56" si="34">IF(AND(JD54="True",JD55 ="", TEXT(JD8,"dddd")&lt;&gt; $D$58),0,IF(JC53=JD53,0,1))</f>
        <v>0</v>
      </c>
      <c r="JE56" s="80">
        <f t="shared" si="34"/>
        <v>0</v>
      </c>
      <c r="JF56" s="80">
        <f t="shared" si="34"/>
        <v>0</v>
      </c>
      <c r="JG56" s="80">
        <f t="shared" si="34"/>
        <v>0</v>
      </c>
      <c r="JH56" s="80">
        <f t="shared" si="34"/>
        <v>0</v>
      </c>
      <c r="JI56" s="80">
        <f t="shared" si="34"/>
        <v>0</v>
      </c>
      <c r="JJ56" s="80">
        <f t="shared" si="34"/>
        <v>0</v>
      </c>
      <c r="JK56" s="80">
        <f t="shared" si="34"/>
        <v>0</v>
      </c>
      <c r="JL56" s="80">
        <f t="shared" si="34"/>
        <v>0</v>
      </c>
      <c r="JM56" s="80">
        <f t="shared" si="34"/>
        <v>0</v>
      </c>
      <c r="JN56" s="80">
        <f t="shared" si="34"/>
        <v>0</v>
      </c>
      <c r="JO56" s="80">
        <f t="shared" si="34"/>
        <v>0</v>
      </c>
      <c r="JP56" s="80">
        <f t="shared" si="34"/>
        <v>0</v>
      </c>
      <c r="JQ56" s="80">
        <f t="shared" si="34"/>
        <v>0</v>
      </c>
      <c r="JR56" s="80">
        <f t="shared" si="34"/>
        <v>0</v>
      </c>
      <c r="JS56" s="80">
        <f t="shared" si="34"/>
        <v>0</v>
      </c>
      <c r="JT56" s="80">
        <f t="shared" si="34"/>
        <v>0</v>
      </c>
      <c r="JU56" s="80">
        <f t="shared" si="34"/>
        <v>0</v>
      </c>
      <c r="JV56" s="80">
        <f t="shared" si="34"/>
        <v>0</v>
      </c>
      <c r="JW56" s="80">
        <f t="shared" si="34"/>
        <v>0</v>
      </c>
      <c r="JX56" s="80">
        <f t="shared" si="34"/>
        <v>0</v>
      </c>
      <c r="JY56" s="80">
        <f t="shared" si="34"/>
        <v>0</v>
      </c>
      <c r="JZ56" s="80">
        <f t="shared" si="34"/>
        <v>0</v>
      </c>
      <c r="KA56" s="80">
        <f t="shared" si="34"/>
        <v>0</v>
      </c>
      <c r="KB56" s="80">
        <f t="shared" si="34"/>
        <v>0</v>
      </c>
      <c r="KC56" s="80">
        <f t="shared" si="34"/>
        <v>0</v>
      </c>
      <c r="KD56" s="80">
        <f t="shared" si="34"/>
        <v>0</v>
      </c>
      <c r="KE56" s="80">
        <f t="shared" si="34"/>
        <v>0</v>
      </c>
      <c r="KF56" s="80">
        <f t="shared" si="34"/>
        <v>0</v>
      </c>
      <c r="KG56" s="80">
        <f t="shared" si="34"/>
        <v>0</v>
      </c>
      <c r="KH56" s="80">
        <f t="shared" si="34"/>
        <v>0</v>
      </c>
      <c r="KI56" s="80">
        <f t="shared" si="34"/>
        <v>0</v>
      </c>
      <c r="KJ56" s="80">
        <f t="shared" si="34"/>
        <v>0</v>
      </c>
      <c r="KK56" s="80">
        <f t="shared" si="34"/>
        <v>0</v>
      </c>
      <c r="KL56" s="80">
        <f t="shared" si="34"/>
        <v>0</v>
      </c>
      <c r="KM56" s="80">
        <f t="shared" si="34"/>
        <v>0</v>
      </c>
      <c r="KN56" s="80">
        <f t="shared" si="34"/>
        <v>0</v>
      </c>
      <c r="KO56" s="80">
        <f t="shared" si="34"/>
        <v>0</v>
      </c>
      <c r="KP56" s="80">
        <f t="shared" si="34"/>
        <v>0</v>
      </c>
      <c r="KQ56" s="80">
        <f t="shared" si="34"/>
        <v>0</v>
      </c>
      <c r="KR56" s="80">
        <f t="shared" si="34"/>
        <v>0</v>
      </c>
      <c r="KS56" s="80">
        <f t="shared" si="34"/>
        <v>0</v>
      </c>
      <c r="KT56" s="80">
        <f t="shared" si="34"/>
        <v>0</v>
      </c>
      <c r="KU56" s="80">
        <f t="shared" si="34"/>
        <v>0</v>
      </c>
      <c r="KV56" s="80">
        <f t="shared" si="34"/>
        <v>0</v>
      </c>
      <c r="KW56" s="80">
        <f t="shared" si="34"/>
        <v>0</v>
      </c>
      <c r="KX56" s="80">
        <f t="shared" si="34"/>
        <v>0</v>
      </c>
      <c r="KY56" s="80">
        <f t="shared" si="34"/>
        <v>0</v>
      </c>
      <c r="KZ56" s="80">
        <f t="shared" si="34"/>
        <v>0</v>
      </c>
      <c r="LA56" s="80">
        <f t="shared" si="34"/>
        <v>0</v>
      </c>
      <c r="LB56" s="80">
        <f t="shared" si="34"/>
        <v>0</v>
      </c>
      <c r="LC56" s="80">
        <f t="shared" si="34"/>
        <v>0</v>
      </c>
      <c r="LD56" s="80">
        <f t="shared" si="34"/>
        <v>0</v>
      </c>
      <c r="LE56" s="80">
        <f t="shared" si="34"/>
        <v>0</v>
      </c>
      <c r="LF56" s="80">
        <f t="shared" si="34"/>
        <v>0</v>
      </c>
      <c r="LG56" s="80">
        <f t="shared" si="34"/>
        <v>0</v>
      </c>
      <c r="LH56" s="80">
        <f t="shared" si="34"/>
        <v>0</v>
      </c>
      <c r="LI56" s="80">
        <f t="shared" si="34"/>
        <v>0</v>
      </c>
      <c r="LJ56" s="80">
        <f t="shared" si="34"/>
        <v>0</v>
      </c>
      <c r="LK56" s="80">
        <f t="shared" si="34"/>
        <v>0</v>
      </c>
      <c r="LL56" s="80">
        <f t="shared" si="34"/>
        <v>0</v>
      </c>
      <c r="LM56" s="80">
        <f t="shared" si="34"/>
        <v>0</v>
      </c>
      <c r="LN56" s="80">
        <f t="shared" si="34"/>
        <v>0</v>
      </c>
      <c r="LO56" s="80">
        <f t="shared" si="34"/>
        <v>0</v>
      </c>
      <c r="LP56" s="80">
        <f t="shared" ref="LP56:OA56" si="35">IF(AND(LP54="True",LP55 ="", TEXT(LP8,"dddd")&lt;&gt; $D$58),0,IF(LO53=LP53,0,1))</f>
        <v>0</v>
      </c>
      <c r="LQ56" s="80">
        <f t="shared" si="35"/>
        <v>0</v>
      </c>
      <c r="LR56" s="80">
        <f t="shared" si="35"/>
        <v>0</v>
      </c>
      <c r="LS56" s="80">
        <f t="shared" si="35"/>
        <v>0</v>
      </c>
      <c r="LT56" s="80">
        <f t="shared" si="35"/>
        <v>0</v>
      </c>
      <c r="LU56" s="80">
        <f t="shared" si="35"/>
        <v>0</v>
      </c>
      <c r="LV56" s="80">
        <f t="shared" si="35"/>
        <v>0</v>
      </c>
      <c r="LW56" s="80">
        <f t="shared" si="35"/>
        <v>0</v>
      </c>
      <c r="LX56" s="80">
        <f t="shared" si="35"/>
        <v>0</v>
      </c>
      <c r="LY56" s="80">
        <f t="shared" si="35"/>
        <v>0</v>
      </c>
      <c r="LZ56" s="80">
        <f t="shared" si="35"/>
        <v>0</v>
      </c>
      <c r="MA56" s="80">
        <f t="shared" si="35"/>
        <v>0</v>
      </c>
      <c r="MB56" s="80">
        <f t="shared" si="35"/>
        <v>0</v>
      </c>
      <c r="MC56" s="80">
        <f t="shared" si="35"/>
        <v>0</v>
      </c>
      <c r="MD56" s="80">
        <f t="shared" si="35"/>
        <v>0</v>
      </c>
      <c r="ME56" s="80">
        <f t="shared" si="35"/>
        <v>0</v>
      </c>
      <c r="MF56" s="80">
        <f t="shared" si="35"/>
        <v>0</v>
      </c>
      <c r="MG56" s="80">
        <f t="shared" si="35"/>
        <v>0</v>
      </c>
      <c r="MH56" s="80">
        <f t="shared" si="35"/>
        <v>0</v>
      </c>
      <c r="MI56" s="80">
        <f t="shared" si="35"/>
        <v>0</v>
      </c>
      <c r="MJ56" s="80">
        <f t="shared" si="35"/>
        <v>0</v>
      </c>
      <c r="MK56" s="80">
        <f t="shared" si="35"/>
        <v>0</v>
      </c>
      <c r="ML56" s="80">
        <f t="shared" si="35"/>
        <v>0</v>
      </c>
      <c r="MM56" s="80">
        <f t="shared" si="35"/>
        <v>0</v>
      </c>
      <c r="MN56" s="80">
        <f t="shared" si="35"/>
        <v>0</v>
      </c>
      <c r="MO56" s="80">
        <f t="shared" si="35"/>
        <v>0</v>
      </c>
      <c r="MP56" s="80">
        <f t="shared" si="35"/>
        <v>0</v>
      </c>
      <c r="MQ56" s="80">
        <f t="shared" si="35"/>
        <v>0</v>
      </c>
      <c r="MR56" s="80">
        <f t="shared" si="35"/>
        <v>0</v>
      </c>
      <c r="MS56" s="80">
        <f t="shared" si="35"/>
        <v>0</v>
      </c>
      <c r="MT56" s="80">
        <f t="shared" si="35"/>
        <v>0</v>
      </c>
      <c r="MU56" s="80">
        <f t="shared" si="35"/>
        <v>0</v>
      </c>
      <c r="MV56" s="80">
        <f t="shared" si="35"/>
        <v>0</v>
      </c>
      <c r="MW56" s="80">
        <f t="shared" si="35"/>
        <v>0</v>
      </c>
      <c r="MX56" s="80">
        <f t="shared" si="35"/>
        <v>0</v>
      </c>
      <c r="MY56" s="80">
        <f t="shared" si="35"/>
        <v>0</v>
      </c>
      <c r="MZ56" s="80">
        <f t="shared" si="35"/>
        <v>0</v>
      </c>
      <c r="NA56" s="80">
        <f t="shared" si="35"/>
        <v>0</v>
      </c>
      <c r="NB56" s="80">
        <f t="shared" si="35"/>
        <v>0</v>
      </c>
      <c r="NC56" s="80">
        <f t="shared" si="35"/>
        <v>0</v>
      </c>
      <c r="ND56" s="80">
        <f t="shared" si="35"/>
        <v>0</v>
      </c>
      <c r="NE56" s="80">
        <f t="shared" si="35"/>
        <v>0</v>
      </c>
      <c r="NF56" s="80">
        <f t="shared" si="35"/>
        <v>0</v>
      </c>
      <c r="NG56" s="80">
        <f t="shared" si="35"/>
        <v>0</v>
      </c>
      <c r="NH56" s="80">
        <f t="shared" si="35"/>
        <v>0</v>
      </c>
      <c r="NI56" s="80">
        <f t="shared" si="35"/>
        <v>0</v>
      </c>
      <c r="NJ56" s="80">
        <f t="shared" si="35"/>
        <v>0</v>
      </c>
      <c r="NK56" s="80">
        <f t="shared" si="35"/>
        <v>0</v>
      </c>
      <c r="NL56" s="80">
        <f t="shared" si="35"/>
        <v>0</v>
      </c>
      <c r="NM56" s="80">
        <f t="shared" si="35"/>
        <v>0</v>
      </c>
      <c r="NN56" s="80">
        <f t="shared" si="35"/>
        <v>0</v>
      </c>
      <c r="NO56" s="80">
        <f t="shared" si="35"/>
        <v>0</v>
      </c>
      <c r="NP56" s="80">
        <f t="shared" si="35"/>
        <v>0</v>
      </c>
      <c r="NQ56" s="80">
        <f t="shared" si="35"/>
        <v>0</v>
      </c>
      <c r="NR56" s="80">
        <f t="shared" si="35"/>
        <v>0</v>
      </c>
      <c r="NS56" s="80">
        <f t="shared" si="35"/>
        <v>0</v>
      </c>
      <c r="NT56" s="80">
        <f t="shared" si="35"/>
        <v>0</v>
      </c>
      <c r="NU56" s="80">
        <f t="shared" si="35"/>
        <v>0</v>
      </c>
      <c r="NV56" s="80">
        <f t="shared" si="35"/>
        <v>0</v>
      </c>
      <c r="NW56" s="80">
        <f t="shared" si="35"/>
        <v>0</v>
      </c>
      <c r="NX56" s="80">
        <f t="shared" si="35"/>
        <v>0</v>
      </c>
      <c r="NY56" s="80">
        <f t="shared" si="35"/>
        <v>0</v>
      </c>
      <c r="NZ56" s="80">
        <f t="shared" si="35"/>
        <v>0</v>
      </c>
      <c r="OA56" s="80">
        <f t="shared" si="35"/>
        <v>0</v>
      </c>
      <c r="OB56" s="80">
        <f t="shared" ref="OB56:QM56" si="36">IF(AND(OB54="True",OB55 ="", TEXT(OB8,"dddd")&lt;&gt; $D$58),0,IF(OA53=OB53,0,1))</f>
        <v>0</v>
      </c>
      <c r="OC56" s="80">
        <f t="shared" si="36"/>
        <v>0</v>
      </c>
      <c r="OD56" s="80">
        <f t="shared" si="36"/>
        <v>0</v>
      </c>
      <c r="OE56" s="80">
        <f t="shared" si="36"/>
        <v>0</v>
      </c>
      <c r="OF56" s="80">
        <f t="shared" si="36"/>
        <v>0</v>
      </c>
      <c r="OG56" s="80">
        <f t="shared" si="36"/>
        <v>0</v>
      </c>
      <c r="OH56" s="80">
        <f t="shared" si="36"/>
        <v>0</v>
      </c>
      <c r="OI56" s="80">
        <f t="shared" si="36"/>
        <v>0</v>
      </c>
      <c r="OJ56" s="80">
        <f t="shared" si="36"/>
        <v>0</v>
      </c>
      <c r="OK56" s="80">
        <f t="shared" si="36"/>
        <v>0</v>
      </c>
      <c r="OL56" s="80">
        <f t="shared" si="36"/>
        <v>0</v>
      </c>
      <c r="OM56" s="80">
        <f t="shared" si="36"/>
        <v>0</v>
      </c>
      <c r="ON56" s="80">
        <f t="shared" si="36"/>
        <v>0</v>
      </c>
      <c r="OO56" s="80">
        <f t="shared" si="36"/>
        <v>0</v>
      </c>
      <c r="OP56" s="80">
        <f t="shared" si="36"/>
        <v>0</v>
      </c>
      <c r="OQ56" s="80">
        <f t="shared" si="36"/>
        <v>0</v>
      </c>
      <c r="OR56" s="80">
        <f t="shared" si="36"/>
        <v>0</v>
      </c>
      <c r="OS56" s="80">
        <f t="shared" si="36"/>
        <v>0</v>
      </c>
      <c r="OT56" s="80">
        <f t="shared" si="36"/>
        <v>0</v>
      </c>
      <c r="OU56" s="80">
        <f t="shared" si="36"/>
        <v>0</v>
      </c>
      <c r="OV56" s="80">
        <f t="shared" si="36"/>
        <v>0</v>
      </c>
      <c r="OW56" s="80">
        <f t="shared" si="36"/>
        <v>0</v>
      </c>
      <c r="OX56" s="80">
        <f t="shared" si="36"/>
        <v>0</v>
      </c>
      <c r="OY56" s="80">
        <f t="shared" si="36"/>
        <v>0</v>
      </c>
      <c r="OZ56" s="80">
        <f t="shared" si="36"/>
        <v>0</v>
      </c>
      <c r="PA56" s="80">
        <f t="shared" si="36"/>
        <v>0</v>
      </c>
      <c r="PB56" s="80">
        <f t="shared" si="36"/>
        <v>0</v>
      </c>
      <c r="PC56" s="80">
        <f t="shared" si="36"/>
        <v>0</v>
      </c>
      <c r="PD56" s="80">
        <f t="shared" si="36"/>
        <v>0</v>
      </c>
      <c r="PE56" s="80">
        <f t="shared" si="36"/>
        <v>0</v>
      </c>
      <c r="PF56" s="80">
        <f t="shared" si="36"/>
        <v>0</v>
      </c>
      <c r="PG56" s="80">
        <f t="shared" si="36"/>
        <v>0</v>
      </c>
      <c r="PH56" s="80">
        <f t="shared" si="36"/>
        <v>0</v>
      </c>
      <c r="PI56" s="80">
        <f t="shared" si="36"/>
        <v>0</v>
      </c>
      <c r="PJ56" s="80">
        <f t="shared" si="36"/>
        <v>0</v>
      </c>
      <c r="PK56" s="80">
        <f t="shared" si="36"/>
        <v>0</v>
      </c>
      <c r="PL56" s="80">
        <f t="shared" si="36"/>
        <v>0</v>
      </c>
      <c r="PM56" s="80">
        <f t="shared" si="36"/>
        <v>0</v>
      </c>
      <c r="PN56" s="80">
        <f t="shared" si="36"/>
        <v>0</v>
      </c>
      <c r="PO56" s="80">
        <f t="shared" si="36"/>
        <v>0</v>
      </c>
      <c r="PP56" s="80">
        <f t="shared" si="36"/>
        <v>0</v>
      </c>
      <c r="PQ56" s="80">
        <f t="shared" si="36"/>
        <v>0</v>
      </c>
      <c r="PR56" s="80">
        <f t="shared" si="36"/>
        <v>0</v>
      </c>
      <c r="PS56" s="80">
        <f t="shared" si="36"/>
        <v>0</v>
      </c>
      <c r="PT56" s="80">
        <f t="shared" si="36"/>
        <v>0</v>
      </c>
      <c r="PU56" s="80">
        <f t="shared" si="36"/>
        <v>0</v>
      </c>
      <c r="PV56" s="80">
        <f t="shared" si="36"/>
        <v>0</v>
      </c>
      <c r="PW56" s="80">
        <f t="shared" si="36"/>
        <v>0</v>
      </c>
      <c r="PX56" s="80">
        <f t="shared" si="36"/>
        <v>0</v>
      </c>
      <c r="PY56" s="80">
        <f t="shared" si="36"/>
        <v>0</v>
      </c>
      <c r="PZ56" s="80">
        <f t="shared" si="36"/>
        <v>0</v>
      </c>
      <c r="QA56" s="80">
        <f t="shared" si="36"/>
        <v>0</v>
      </c>
      <c r="QB56" s="80">
        <f t="shared" si="36"/>
        <v>0</v>
      </c>
      <c r="QC56" s="80">
        <f t="shared" si="36"/>
        <v>0</v>
      </c>
      <c r="QD56" s="80">
        <f t="shared" si="36"/>
        <v>0</v>
      </c>
      <c r="QE56" s="80">
        <f t="shared" si="36"/>
        <v>0</v>
      </c>
      <c r="QF56" s="80">
        <f t="shared" si="36"/>
        <v>0</v>
      </c>
      <c r="QG56" s="80">
        <f t="shared" si="36"/>
        <v>0</v>
      </c>
      <c r="QH56" s="80">
        <f t="shared" si="36"/>
        <v>0</v>
      </c>
      <c r="QI56" s="80">
        <f t="shared" si="36"/>
        <v>0</v>
      </c>
      <c r="QJ56" s="80">
        <f t="shared" si="36"/>
        <v>0</v>
      </c>
      <c r="QK56" s="80">
        <f t="shared" si="36"/>
        <v>0</v>
      </c>
      <c r="QL56" s="80">
        <f t="shared" si="36"/>
        <v>0</v>
      </c>
      <c r="QM56" s="80">
        <f t="shared" si="36"/>
        <v>0</v>
      </c>
      <c r="QN56" s="80">
        <f t="shared" ref="QN56:SC56" si="37">IF(AND(QN54="True",QN55 ="", TEXT(QN8,"dddd")&lt;&gt; $D$58),0,IF(QM53=QN53,0,1))</f>
        <v>0</v>
      </c>
      <c r="QO56" s="80">
        <f t="shared" si="37"/>
        <v>0</v>
      </c>
      <c r="QP56" s="80">
        <f t="shared" si="37"/>
        <v>0</v>
      </c>
      <c r="QQ56" s="80">
        <f t="shared" si="37"/>
        <v>0</v>
      </c>
      <c r="QR56" s="80">
        <f t="shared" si="37"/>
        <v>0</v>
      </c>
      <c r="QS56" s="80">
        <f t="shared" si="37"/>
        <v>0</v>
      </c>
      <c r="QT56" s="80">
        <f t="shared" si="37"/>
        <v>0</v>
      </c>
      <c r="QU56" s="80">
        <f t="shared" si="37"/>
        <v>0</v>
      </c>
      <c r="QV56" s="80">
        <f t="shared" si="37"/>
        <v>0</v>
      </c>
      <c r="QW56" s="80">
        <f t="shared" si="37"/>
        <v>0</v>
      </c>
      <c r="QX56" s="80">
        <f t="shared" si="37"/>
        <v>0</v>
      </c>
      <c r="QY56" s="80">
        <f t="shared" si="37"/>
        <v>0</v>
      </c>
      <c r="QZ56" s="80">
        <f t="shared" si="37"/>
        <v>0</v>
      </c>
      <c r="RA56" s="80">
        <f t="shared" si="37"/>
        <v>0</v>
      </c>
      <c r="RB56" s="80">
        <f t="shared" si="37"/>
        <v>0</v>
      </c>
      <c r="RC56" s="80">
        <f t="shared" si="37"/>
        <v>0</v>
      </c>
      <c r="RD56" s="80">
        <f t="shared" si="37"/>
        <v>0</v>
      </c>
      <c r="RE56" s="80">
        <f t="shared" si="37"/>
        <v>0</v>
      </c>
      <c r="RF56" s="80">
        <f t="shared" si="37"/>
        <v>0</v>
      </c>
      <c r="RG56" s="80">
        <f t="shared" si="37"/>
        <v>0</v>
      </c>
      <c r="RH56" s="80">
        <f t="shared" si="37"/>
        <v>0</v>
      </c>
      <c r="RI56" s="80">
        <f t="shared" si="37"/>
        <v>0</v>
      </c>
      <c r="RJ56" s="80">
        <f t="shared" si="37"/>
        <v>0</v>
      </c>
      <c r="RK56" s="80">
        <f t="shared" si="37"/>
        <v>0</v>
      </c>
      <c r="RL56" s="80">
        <f t="shared" si="37"/>
        <v>0</v>
      </c>
      <c r="RM56" s="80">
        <f t="shared" si="37"/>
        <v>0</v>
      </c>
      <c r="RN56" s="80">
        <f t="shared" si="37"/>
        <v>0</v>
      </c>
      <c r="RO56" s="80">
        <f t="shared" si="37"/>
        <v>0</v>
      </c>
      <c r="RP56" s="80">
        <f t="shared" si="37"/>
        <v>0</v>
      </c>
      <c r="RQ56" s="80">
        <f t="shared" si="37"/>
        <v>0</v>
      </c>
      <c r="RR56" s="80">
        <f t="shared" si="37"/>
        <v>0</v>
      </c>
      <c r="RS56" s="80">
        <f t="shared" si="37"/>
        <v>0</v>
      </c>
      <c r="RT56" s="80">
        <f t="shared" si="37"/>
        <v>0</v>
      </c>
      <c r="RU56" s="80">
        <f t="shared" si="37"/>
        <v>0</v>
      </c>
      <c r="RV56" s="80">
        <f t="shared" si="37"/>
        <v>0</v>
      </c>
      <c r="RW56" s="80">
        <f t="shared" si="37"/>
        <v>0</v>
      </c>
      <c r="RX56" s="80">
        <f t="shared" si="37"/>
        <v>0</v>
      </c>
      <c r="RY56" s="80">
        <f t="shared" si="37"/>
        <v>0</v>
      </c>
      <c r="RZ56" s="80">
        <f t="shared" si="37"/>
        <v>0</v>
      </c>
      <c r="SA56" s="80">
        <f t="shared" si="37"/>
        <v>0</v>
      </c>
      <c r="SB56" s="80">
        <f t="shared" si="37"/>
        <v>0</v>
      </c>
      <c r="SC56" s="80">
        <f t="shared" si="37"/>
        <v>0</v>
      </c>
    </row>
    <row r="57" spans="1:497" ht="27" hidden="1" customHeight="1" x14ac:dyDescent="0.15">
      <c r="A57" s="79"/>
      <c r="B57" s="79"/>
      <c r="C57" s="79"/>
      <c r="D57" s="79"/>
      <c r="E57" s="79"/>
      <c r="F57" s="125"/>
      <c r="G57" s="120"/>
      <c r="H57" s="80" t="str">
        <f t="shared" ref="H57:JB57" si="38">IF(AND(H51&lt;&gt;"",H54=0),1,"0")</f>
        <v>0</v>
      </c>
      <c r="I57" s="80" t="str">
        <f t="shared" si="38"/>
        <v>0</v>
      </c>
      <c r="J57" s="80" t="str">
        <f t="shared" si="38"/>
        <v>0</v>
      </c>
      <c r="K57" s="80" t="str">
        <f t="shared" si="38"/>
        <v>0</v>
      </c>
      <c r="L57" s="80" t="str">
        <f t="shared" si="38"/>
        <v>0</v>
      </c>
      <c r="M57" s="80" t="str">
        <f t="shared" si="38"/>
        <v>0</v>
      </c>
      <c r="N57" s="80" t="str">
        <f t="shared" si="38"/>
        <v>0</v>
      </c>
      <c r="O57" s="80" t="str">
        <f t="shared" si="38"/>
        <v>0</v>
      </c>
      <c r="P57" s="80" t="str">
        <f t="shared" si="38"/>
        <v>0</v>
      </c>
      <c r="Q57" s="80" t="str">
        <f t="shared" si="38"/>
        <v>0</v>
      </c>
      <c r="R57" s="80" t="str">
        <f t="shared" si="38"/>
        <v>0</v>
      </c>
      <c r="S57" s="80" t="str">
        <f t="shared" si="38"/>
        <v>0</v>
      </c>
      <c r="T57" s="80" t="str">
        <f t="shared" si="38"/>
        <v>0</v>
      </c>
      <c r="U57" s="80" t="str">
        <f t="shared" si="38"/>
        <v>0</v>
      </c>
      <c r="V57" s="80" t="str">
        <f t="shared" si="38"/>
        <v>0</v>
      </c>
      <c r="W57" s="80" t="str">
        <f t="shared" si="38"/>
        <v>0</v>
      </c>
      <c r="X57" s="80" t="str">
        <f t="shared" si="38"/>
        <v>0</v>
      </c>
      <c r="Y57" s="80" t="str">
        <f t="shared" si="38"/>
        <v>0</v>
      </c>
      <c r="Z57" s="80" t="str">
        <f t="shared" si="38"/>
        <v>0</v>
      </c>
      <c r="AA57" s="80" t="str">
        <f t="shared" si="38"/>
        <v>0</v>
      </c>
      <c r="AB57" s="80" t="str">
        <f t="shared" si="38"/>
        <v>0</v>
      </c>
      <c r="AC57" s="80" t="str">
        <f t="shared" si="38"/>
        <v>0</v>
      </c>
      <c r="AD57" s="80" t="str">
        <f t="shared" si="38"/>
        <v>0</v>
      </c>
      <c r="AE57" s="80" t="str">
        <f t="shared" si="38"/>
        <v>0</v>
      </c>
      <c r="AF57" s="80" t="str">
        <f t="shared" si="38"/>
        <v>0</v>
      </c>
      <c r="AG57" s="80" t="str">
        <f t="shared" si="38"/>
        <v>0</v>
      </c>
      <c r="AH57" s="80" t="str">
        <f t="shared" si="38"/>
        <v>0</v>
      </c>
      <c r="AI57" s="80" t="str">
        <f t="shared" si="38"/>
        <v>0</v>
      </c>
      <c r="AJ57" s="80" t="str">
        <f t="shared" si="38"/>
        <v>0</v>
      </c>
      <c r="AK57" s="80" t="str">
        <f t="shared" si="38"/>
        <v>0</v>
      </c>
      <c r="AL57" s="80" t="str">
        <f t="shared" si="38"/>
        <v>0</v>
      </c>
      <c r="AM57" s="80" t="str">
        <f t="shared" si="38"/>
        <v>0</v>
      </c>
      <c r="AN57" s="80" t="str">
        <f t="shared" si="38"/>
        <v>0</v>
      </c>
      <c r="AO57" s="80" t="str">
        <f t="shared" si="38"/>
        <v>0</v>
      </c>
      <c r="AP57" s="80" t="str">
        <f t="shared" si="38"/>
        <v>0</v>
      </c>
      <c r="AQ57" s="80" t="str">
        <f t="shared" si="38"/>
        <v>0</v>
      </c>
      <c r="AR57" s="80" t="str">
        <f t="shared" si="38"/>
        <v>0</v>
      </c>
      <c r="AS57" s="80" t="str">
        <f t="shared" si="38"/>
        <v>0</v>
      </c>
      <c r="AT57" s="80" t="str">
        <f t="shared" si="38"/>
        <v>0</v>
      </c>
      <c r="AU57" s="80" t="str">
        <f t="shared" si="38"/>
        <v>0</v>
      </c>
      <c r="AV57" s="80" t="str">
        <f t="shared" si="38"/>
        <v>0</v>
      </c>
      <c r="AW57" s="80" t="str">
        <f t="shared" si="38"/>
        <v>0</v>
      </c>
      <c r="AX57" s="80" t="str">
        <f t="shared" si="38"/>
        <v>0</v>
      </c>
      <c r="AY57" s="80" t="str">
        <f t="shared" si="38"/>
        <v>0</v>
      </c>
      <c r="AZ57" s="80" t="str">
        <f t="shared" si="38"/>
        <v>0</v>
      </c>
      <c r="BA57" s="80" t="str">
        <f t="shared" si="38"/>
        <v>0</v>
      </c>
      <c r="BB57" s="80" t="str">
        <f t="shared" si="38"/>
        <v>0</v>
      </c>
      <c r="BC57" s="80" t="str">
        <f t="shared" si="38"/>
        <v>0</v>
      </c>
      <c r="BD57" s="80" t="str">
        <f t="shared" si="38"/>
        <v>0</v>
      </c>
      <c r="BE57" s="80" t="str">
        <f t="shared" si="38"/>
        <v>0</v>
      </c>
      <c r="BF57" s="80" t="str">
        <f t="shared" si="38"/>
        <v>0</v>
      </c>
      <c r="BG57" s="80" t="str">
        <f t="shared" si="38"/>
        <v>0</v>
      </c>
      <c r="BH57" s="80" t="str">
        <f t="shared" si="38"/>
        <v>0</v>
      </c>
      <c r="BI57" s="80" t="str">
        <f t="shared" si="38"/>
        <v>0</v>
      </c>
      <c r="BJ57" s="80" t="str">
        <f t="shared" si="38"/>
        <v>0</v>
      </c>
      <c r="BK57" s="80" t="str">
        <f t="shared" si="38"/>
        <v>0</v>
      </c>
      <c r="BL57" s="80" t="str">
        <f t="shared" si="38"/>
        <v>0</v>
      </c>
      <c r="BM57" s="80" t="str">
        <f t="shared" si="38"/>
        <v>0</v>
      </c>
      <c r="BN57" s="80" t="str">
        <f t="shared" si="38"/>
        <v>0</v>
      </c>
      <c r="BO57" s="80" t="str">
        <f t="shared" si="38"/>
        <v>0</v>
      </c>
      <c r="BP57" s="80" t="str">
        <f t="shared" si="38"/>
        <v>0</v>
      </c>
      <c r="BQ57" s="80" t="str">
        <f t="shared" si="38"/>
        <v>0</v>
      </c>
      <c r="BR57" s="80" t="str">
        <f t="shared" si="38"/>
        <v>0</v>
      </c>
      <c r="BS57" s="80" t="str">
        <f t="shared" si="38"/>
        <v>0</v>
      </c>
      <c r="BT57" s="80" t="str">
        <f t="shared" si="38"/>
        <v>0</v>
      </c>
      <c r="BU57" s="80" t="str">
        <f t="shared" si="38"/>
        <v>0</v>
      </c>
      <c r="BV57" s="80" t="str">
        <f t="shared" si="38"/>
        <v>0</v>
      </c>
      <c r="BW57" s="80" t="str">
        <f t="shared" si="38"/>
        <v>0</v>
      </c>
      <c r="BX57" s="80" t="str">
        <f t="shared" si="38"/>
        <v>0</v>
      </c>
      <c r="BY57" s="80" t="str">
        <f t="shared" si="38"/>
        <v>0</v>
      </c>
      <c r="BZ57" s="80" t="str">
        <f t="shared" si="38"/>
        <v>0</v>
      </c>
      <c r="CA57" s="80" t="str">
        <f t="shared" si="38"/>
        <v>0</v>
      </c>
      <c r="CB57" s="80" t="str">
        <f t="shared" si="38"/>
        <v>0</v>
      </c>
      <c r="CC57" s="80" t="str">
        <f t="shared" si="38"/>
        <v>0</v>
      </c>
      <c r="CD57" s="80" t="str">
        <f t="shared" si="38"/>
        <v>0</v>
      </c>
      <c r="CE57" s="80" t="str">
        <f t="shared" si="38"/>
        <v>0</v>
      </c>
      <c r="CF57" s="80" t="str">
        <f t="shared" si="38"/>
        <v>0</v>
      </c>
      <c r="CG57" s="80" t="str">
        <f t="shared" si="38"/>
        <v>0</v>
      </c>
      <c r="CH57" s="80" t="str">
        <f t="shared" si="38"/>
        <v>0</v>
      </c>
      <c r="CI57" s="80" t="str">
        <f t="shared" si="38"/>
        <v>0</v>
      </c>
      <c r="CJ57" s="80" t="str">
        <f t="shared" si="38"/>
        <v>0</v>
      </c>
      <c r="CK57" s="80" t="str">
        <f t="shared" si="38"/>
        <v>0</v>
      </c>
      <c r="CL57" s="80" t="str">
        <f t="shared" si="38"/>
        <v>0</v>
      </c>
      <c r="CM57" s="80" t="str">
        <f t="shared" si="38"/>
        <v>0</v>
      </c>
      <c r="CN57" s="80" t="str">
        <f t="shared" si="38"/>
        <v>0</v>
      </c>
      <c r="CO57" s="80" t="str">
        <f t="shared" si="38"/>
        <v>0</v>
      </c>
      <c r="CP57" s="80" t="str">
        <f t="shared" si="38"/>
        <v>0</v>
      </c>
      <c r="CQ57" s="80" t="str">
        <f t="shared" si="38"/>
        <v>0</v>
      </c>
      <c r="CR57" s="80" t="str">
        <f t="shared" si="38"/>
        <v>0</v>
      </c>
      <c r="CS57" s="80" t="str">
        <f t="shared" si="38"/>
        <v>0</v>
      </c>
      <c r="CT57" s="80" t="str">
        <f t="shared" si="38"/>
        <v>0</v>
      </c>
      <c r="CU57" s="80" t="str">
        <f t="shared" si="38"/>
        <v>0</v>
      </c>
      <c r="CV57" s="80" t="str">
        <f t="shared" si="38"/>
        <v>0</v>
      </c>
      <c r="CW57" s="80" t="str">
        <f t="shared" si="38"/>
        <v>0</v>
      </c>
      <c r="CX57" s="80" t="str">
        <f t="shared" si="38"/>
        <v>0</v>
      </c>
      <c r="CY57" s="80" t="str">
        <f t="shared" si="38"/>
        <v>0</v>
      </c>
      <c r="CZ57" s="80" t="str">
        <f t="shared" si="38"/>
        <v>0</v>
      </c>
      <c r="DA57" s="80" t="str">
        <f t="shared" si="38"/>
        <v>0</v>
      </c>
      <c r="DB57" s="80" t="str">
        <f t="shared" si="38"/>
        <v>0</v>
      </c>
      <c r="DC57" s="80" t="str">
        <f t="shared" si="38"/>
        <v>0</v>
      </c>
      <c r="DD57" s="80" t="str">
        <f t="shared" si="38"/>
        <v>0</v>
      </c>
      <c r="DE57" s="80" t="str">
        <f t="shared" si="38"/>
        <v>0</v>
      </c>
      <c r="DF57" s="80" t="str">
        <f t="shared" si="38"/>
        <v>0</v>
      </c>
      <c r="DG57" s="80" t="str">
        <f t="shared" si="38"/>
        <v>0</v>
      </c>
      <c r="DH57" s="80" t="str">
        <f t="shared" si="38"/>
        <v>0</v>
      </c>
      <c r="DI57" s="80" t="str">
        <f t="shared" si="38"/>
        <v>0</v>
      </c>
      <c r="DJ57" s="80" t="str">
        <f t="shared" si="38"/>
        <v>0</v>
      </c>
      <c r="DK57" s="80" t="str">
        <f t="shared" si="38"/>
        <v>0</v>
      </c>
      <c r="DL57" s="80" t="str">
        <f t="shared" si="38"/>
        <v>0</v>
      </c>
      <c r="DM57" s="80" t="str">
        <f t="shared" si="38"/>
        <v>0</v>
      </c>
      <c r="DN57" s="80" t="str">
        <f t="shared" si="38"/>
        <v>0</v>
      </c>
      <c r="DO57" s="80" t="str">
        <f t="shared" si="38"/>
        <v>0</v>
      </c>
      <c r="DP57" s="80" t="str">
        <f t="shared" si="38"/>
        <v>0</v>
      </c>
      <c r="DQ57" s="80" t="str">
        <f t="shared" si="38"/>
        <v>0</v>
      </c>
      <c r="DR57" s="80" t="str">
        <f t="shared" si="38"/>
        <v>0</v>
      </c>
      <c r="DS57" s="80" t="str">
        <f t="shared" si="38"/>
        <v>0</v>
      </c>
      <c r="DT57" s="80" t="str">
        <f t="shared" si="38"/>
        <v>0</v>
      </c>
      <c r="DU57" s="80" t="str">
        <f t="shared" si="38"/>
        <v>0</v>
      </c>
      <c r="DV57" s="80" t="str">
        <f t="shared" si="38"/>
        <v>0</v>
      </c>
      <c r="DW57" s="80" t="str">
        <f t="shared" si="38"/>
        <v>0</v>
      </c>
      <c r="DX57" s="80" t="str">
        <f t="shared" si="38"/>
        <v>0</v>
      </c>
      <c r="DY57" s="80" t="str">
        <f t="shared" si="38"/>
        <v>0</v>
      </c>
      <c r="DZ57" s="80" t="str">
        <f t="shared" si="38"/>
        <v>0</v>
      </c>
      <c r="EA57" s="80" t="str">
        <f t="shared" si="38"/>
        <v>0</v>
      </c>
      <c r="EB57" s="80" t="str">
        <f t="shared" si="38"/>
        <v>0</v>
      </c>
      <c r="EC57" s="80" t="str">
        <f t="shared" si="38"/>
        <v>0</v>
      </c>
      <c r="ED57" s="80" t="str">
        <f t="shared" si="38"/>
        <v>0</v>
      </c>
      <c r="EE57" s="80" t="str">
        <f t="shared" si="38"/>
        <v>0</v>
      </c>
      <c r="EF57" s="80" t="str">
        <f t="shared" si="38"/>
        <v>0</v>
      </c>
      <c r="EG57" s="80" t="str">
        <f t="shared" si="38"/>
        <v>0</v>
      </c>
      <c r="EH57" s="80" t="str">
        <f t="shared" si="38"/>
        <v>0</v>
      </c>
      <c r="EI57" s="80" t="str">
        <f t="shared" si="38"/>
        <v>0</v>
      </c>
      <c r="EJ57" s="80" t="str">
        <f t="shared" si="38"/>
        <v>0</v>
      </c>
      <c r="EK57" s="80" t="str">
        <f t="shared" si="38"/>
        <v>0</v>
      </c>
      <c r="EL57" s="80" t="str">
        <f t="shared" si="38"/>
        <v>0</v>
      </c>
      <c r="EM57" s="80" t="str">
        <f t="shared" si="38"/>
        <v>0</v>
      </c>
      <c r="EN57" s="80" t="str">
        <f t="shared" si="38"/>
        <v>0</v>
      </c>
      <c r="EO57" s="80" t="str">
        <f t="shared" si="38"/>
        <v>0</v>
      </c>
      <c r="EP57" s="80" t="str">
        <f t="shared" si="38"/>
        <v>0</v>
      </c>
      <c r="EQ57" s="80" t="str">
        <f t="shared" si="38"/>
        <v>0</v>
      </c>
      <c r="ER57" s="80" t="str">
        <f t="shared" si="38"/>
        <v>0</v>
      </c>
      <c r="ES57" s="80" t="str">
        <f t="shared" si="38"/>
        <v>0</v>
      </c>
      <c r="ET57" s="80" t="str">
        <f t="shared" si="38"/>
        <v>0</v>
      </c>
      <c r="EU57" s="80" t="str">
        <f t="shared" si="38"/>
        <v>0</v>
      </c>
      <c r="EV57" s="80" t="str">
        <f t="shared" si="38"/>
        <v>0</v>
      </c>
      <c r="EW57" s="80" t="str">
        <f t="shared" si="38"/>
        <v>0</v>
      </c>
      <c r="EX57" s="80" t="str">
        <f t="shared" si="38"/>
        <v>0</v>
      </c>
      <c r="EY57" s="80" t="str">
        <f t="shared" si="38"/>
        <v>0</v>
      </c>
      <c r="EZ57" s="80" t="str">
        <f t="shared" si="38"/>
        <v>0</v>
      </c>
      <c r="FA57" s="80" t="str">
        <f t="shared" si="38"/>
        <v>0</v>
      </c>
      <c r="FB57" s="80" t="str">
        <f t="shared" si="38"/>
        <v>0</v>
      </c>
      <c r="FC57" s="80" t="str">
        <f t="shared" si="38"/>
        <v>0</v>
      </c>
      <c r="FD57" s="80" t="str">
        <f t="shared" si="38"/>
        <v>0</v>
      </c>
      <c r="FE57" s="80" t="str">
        <f t="shared" si="38"/>
        <v>0</v>
      </c>
      <c r="FF57" s="80" t="str">
        <f t="shared" si="38"/>
        <v>0</v>
      </c>
      <c r="FG57" s="80" t="str">
        <f t="shared" si="38"/>
        <v>0</v>
      </c>
      <c r="FH57" s="80" t="str">
        <f t="shared" si="38"/>
        <v>0</v>
      </c>
      <c r="FI57" s="80" t="str">
        <f t="shared" si="38"/>
        <v>0</v>
      </c>
      <c r="FJ57" s="80" t="str">
        <f t="shared" si="38"/>
        <v>0</v>
      </c>
      <c r="FK57" s="80" t="str">
        <f t="shared" si="38"/>
        <v>0</v>
      </c>
      <c r="FL57" s="80" t="str">
        <f t="shared" si="38"/>
        <v>0</v>
      </c>
      <c r="FM57" s="80" t="str">
        <f t="shared" si="38"/>
        <v>0</v>
      </c>
      <c r="FN57" s="80" t="str">
        <f t="shared" si="38"/>
        <v>0</v>
      </c>
      <c r="FO57" s="80" t="str">
        <f t="shared" si="38"/>
        <v>0</v>
      </c>
      <c r="FP57" s="80" t="str">
        <f t="shared" si="38"/>
        <v>0</v>
      </c>
      <c r="FQ57" s="80" t="str">
        <f t="shared" si="38"/>
        <v>0</v>
      </c>
      <c r="FR57" s="80" t="str">
        <f t="shared" si="38"/>
        <v>0</v>
      </c>
      <c r="FS57" s="80" t="str">
        <f t="shared" si="38"/>
        <v>0</v>
      </c>
      <c r="FT57" s="80" t="str">
        <f t="shared" si="38"/>
        <v>0</v>
      </c>
      <c r="FU57" s="80" t="str">
        <f t="shared" si="38"/>
        <v>0</v>
      </c>
      <c r="FV57" s="80" t="str">
        <f t="shared" si="38"/>
        <v>0</v>
      </c>
      <c r="FW57" s="80" t="str">
        <f t="shared" si="38"/>
        <v>0</v>
      </c>
      <c r="FX57" s="80" t="str">
        <f t="shared" si="38"/>
        <v>0</v>
      </c>
      <c r="FY57" s="80" t="str">
        <f t="shared" si="38"/>
        <v>0</v>
      </c>
      <c r="FZ57" s="80" t="str">
        <f t="shared" si="38"/>
        <v>0</v>
      </c>
      <c r="GA57" s="80" t="str">
        <f t="shared" si="38"/>
        <v>0</v>
      </c>
      <c r="GB57" s="80" t="str">
        <f t="shared" si="38"/>
        <v>0</v>
      </c>
      <c r="GC57" s="80" t="str">
        <f t="shared" si="38"/>
        <v>0</v>
      </c>
      <c r="GD57" s="80" t="str">
        <f t="shared" si="38"/>
        <v>0</v>
      </c>
      <c r="GE57" s="80" t="str">
        <f t="shared" si="38"/>
        <v>0</v>
      </c>
      <c r="GF57" s="80" t="str">
        <f t="shared" si="38"/>
        <v>0</v>
      </c>
      <c r="GG57" s="80" t="str">
        <f t="shared" si="38"/>
        <v>0</v>
      </c>
      <c r="GH57" s="80" t="str">
        <f t="shared" si="38"/>
        <v>0</v>
      </c>
      <c r="GI57" s="80" t="str">
        <f t="shared" si="38"/>
        <v>0</v>
      </c>
      <c r="GJ57" s="80" t="str">
        <f t="shared" si="38"/>
        <v>0</v>
      </c>
      <c r="GK57" s="80" t="str">
        <f t="shared" si="38"/>
        <v>0</v>
      </c>
      <c r="GL57" s="80" t="str">
        <f t="shared" si="38"/>
        <v>0</v>
      </c>
      <c r="GM57" s="80" t="str">
        <f t="shared" si="38"/>
        <v>0</v>
      </c>
      <c r="GN57" s="80" t="str">
        <f t="shared" si="38"/>
        <v>0</v>
      </c>
      <c r="GO57" s="80" t="str">
        <f t="shared" si="38"/>
        <v>0</v>
      </c>
      <c r="GP57" s="80" t="str">
        <f t="shared" si="38"/>
        <v>0</v>
      </c>
      <c r="GQ57" s="80" t="str">
        <f t="shared" si="38"/>
        <v>0</v>
      </c>
      <c r="GR57" s="80" t="str">
        <f t="shared" si="38"/>
        <v>0</v>
      </c>
      <c r="GS57" s="80" t="str">
        <f t="shared" si="38"/>
        <v>0</v>
      </c>
      <c r="GT57" s="80" t="str">
        <f t="shared" si="38"/>
        <v>0</v>
      </c>
      <c r="GU57" s="80" t="str">
        <f t="shared" si="38"/>
        <v>0</v>
      </c>
      <c r="GV57" s="80" t="str">
        <f t="shared" si="38"/>
        <v>0</v>
      </c>
      <c r="GW57" s="80" t="str">
        <f t="shared" si="38"/>
        <v>0</v>
      </c>
      <c r="GX57" s="80" t="str">
        <f t="shared" si="38"/>
        <v>0</v>
      </c>
      <c r="GY57" s="80" t="str">
        <f t="shared" si="38"/>
        <v>0</v>
      </c>
      <c r="GZ57" s="80" t="str">
        <f t="shared" si="38"/>
        <v>0</v>
      </c>
      <c r="HA57" s="80" t="str">
        <f t="shared" si="38"/>
        <v>0</v>
      </c>
      <c r="HB57" s="80" t="str">
        <f t="shared" si="38"/>
        <v>0</v>
      </c>
      <c r="HC57" s="80" t="str">
        <f t="shared" si="38"/>
        <v>0</v>
      </c>
      <c r="HD57" s="80" t="str">
        <f t="shared" si="38"/>
        <v>0</v>
      </c>
      <c r="HE57" s="80" t="str">
        <f t="shared" si="38"/>
        <v>0</v>
      </c>
      <c r="HF57" s="80" t="str">
        <f t="shared" si="38"/>
        <v>0</v>
      </c>
      <c r="HG57" s="80" t="str">
        <f t="shared" si="38"/>
        <v>0</v>
      </c>
      <c r="HH57" s="80" t="str">
        <f t="shared" si="38"/>
        <v>0</v>
      </c>
      <c r="HI57" s="80" t="str">
        <f t="shared" si="38"/>
        <v>0</v>
      </c>
      <c r="HJ57" s="80" t="str">
        <f t="shared" si="38"/>
        <v>0</v>
      </c>
      <c r="HK57" s="80" t="str">
        <f t="shared" si="38"/>
        <v>0</v>
      </c>
      <c r="HL57" s="80" t="str">
        <f t="shared" si="38"/>
        <v>0</v>
      </c>
      <c r="HM57" s="80" t="str">
        <f t="shared" si="38"/>
        <v>0</v>
      </c>
      <c r="HN57" s="80" t="str">
        <f t="shared" si="38"/>
        <v>0</v>
      </c>
      <c r="HO57" s="80" t="str">
        <f t="shared" si="38"/>
        <v>0</v>
      </c>
      <c r="HP57" s="80" t="str">
        <f t="shared" si="38"/>
        <v>0</v>
      </c>
      <c r="HQ57" s="80" t="str">
        <f t="shared" si="38"/>
        <v>0</v>
      </c>
      <c r="HR57" s="80" t="str">
        <f t="shared" si="38"/>
        <v>0</v>
      </c>
      <c r="HS57" s="80" t="str">
        <f t="shared" si="38"/>
        <v>0</v>
      </c>
      <c r="HT57" s="80" t="str">
        <f t="shared" si="38"/>
        <v>0</v>
      </c>
      <c r="HU57" s="80" t="str">
        <f t="shared" si="38"/>
        <v>0</v>
      </c>
      <c r="HV57" s="80" t="str">
        <f t="shared" si="38"/>
        <v>0</v>
      </c>
      <c r="HW57" s="80" t="str">
        <f t="shared" si="38"/>
        <v>0</v>
      </c>
      <c r="HX57" s="80" t="str">
        <f t="shared" si="38"/>
        <v>0</v>
      </c>
      <c r="HY57" s="80" t="str">
        <f t="shared" si="38"/>
        <v>0</v>
      </c>
      <c r="HZ57" s="80" t="str">
        <f t="shared" si="38"/>
        <v>0</v>
      </c>
      <c r="IA57" s="80" t="str">
        <f t="shared" si="38"/>
        <v>0</v>
      </c>
      <c r="IB57" s="80" t="str">
        <f t="shared" si="38"/>
        <v>0</v>
      </c>
      <c r="IC57" s="80" t="str">
        <f t="shared" si="38"/>
        <v>0</v>
      </c>
      <c r="ID57" s="80" t="str">
        <f t="shared" si="38"/>
        <v>0</v>
      </c>
      <c r="IE57" s="80" t="str">
        <f t="shared" si="38"/>
        <v>0</v>
      </c>
      <c r="IF57" s="80" t="str">
        <f t="shared" si="38"/>
        <v>0</v>
      </c>
      <c r="IG57" s="80" t="str">
        <f t="shared" si="38"/>
        <v>0</v>
      </c>
      <c r="IH57" s="80" t="str">
        <f t="shared" si="38"/>
        <v>0</v>
      </c>
      <c r="II57" s="80" t="str">
        <f t="shared" si="38"/>
        <v>0</v>
      </c>
      <c r="IJ57" s="80" t="str">
        <f t="shared" si="38"/>
        <v>0</v>
      </c>
      <c r="IK57" s="80" t="str">
        <f t="shared" si="38"/>
        <v>0</v>
      </c>
      <c r="IL57" s="80" t="str">
        <f t="shared" si="38"/>
        <v>0</v>
      </c>
      <c r="IM57" s="80" t="str">
        <f t="shared" si="38"/>
        <v>0</v>
      </c>
      <c r="IN57" s="80" t="str">
        <f t="shared" si="38"/>
        <v>0</v>
      </c>
      <c r="IO57" s="80" t="str">
        <f t="shared" si="38"/>
        <v>0</v>
      </c>
      <c r="IP57" s="80" t="str">
        <f t="shared" si="38"/>
        <v>0</v>
      </c>
      <c r="IQ57" s="80" t="str">
        <f t="shared" si="38"/>
        <v>0</v>
      </c>
      <c r="IR57" s="80" t="str">
        <f t="shared" si="38"/>
        <v>0</v>
      </c>
      <c r="IS57" s="80" t="str">
        <f t="shared" si="38"/>
        <v>0</v>
      </c>
      <c r="IT57" s="80" t="str">
        <f t="shared" si="38"/>
        <v>0</v>
      </c>
      <c r="IU57" s="80" t="str">
        <f t="shared" si="38"/>
        <v>0</v>
      </c>
      <c r="IV57" s="80" t="str">
        <f t="shared" si="38"/>
        <v>0</v>
      </c>
      <c r="IW57" s="80" t="str">
        <f t="shared" si="38"/>
        <v>0</v>
      </c>
      <c r="IX57" s="80" t="str">
        <f t="shared" si="38"/>
        <v>0</v>
      </c>
      <c r="IY57" s="80" t="str">
        <f t="shared" si="38"/>
        <v>0</v>
      </c>
      <c r="IZ57" s="80" t="str">
        <f t="shared" si="38"/>
        <v>0</v>
      </c>
      <c r="JA57" s="80" t="str">
        <f t="shared" si="38"/>
        <v>0</v>
      </c>
      <c r="JB57" s="80" t="str">
        <f t="shared" si="38"/>
        <v>0</v>
      </c>
      <c r="JC57" s="80" t="str">
        <f t="shared" ref="JC57:SC57" si="39">IF(AND(JC51&lt;&gt;"",JC54=0),1,"0")</f>
        <v>0</v>
      </c>
      <c r="JD57" s="80" t="str">
        <f t="shared" si="39"/>
        <v>0</v>
      </c>
      <c r="JE57" s="80" t="str">
        <f t="shared" si="39"/>
        <v>0</v>
      </c>
      <c r="JF57" s="80" t="str">
        <f t="shared" si="39"/>
        <v>0</v>
      </c>
      <c r="JG57" s="80" t="str">
        <f t="shared" si="39"/>
        <v>0</v>
      </c>
      <c r="JH57" s="80" t="str">
        <f t="shared" si="39"/>
        <v>0</v>
      </c>
      <c r="JI57" s="80" t="str">
        <f t="shared" si="39"/>
        <v>0</v>
      </c>
      <c r="JJ57" s="80" t="str">
        <f t="shared" si="39"/>
        <v>0</v>
      </c>
      <c r="JK57" s="80" t="str">
        <f t="shared" si="39"/>
        <v>0</v>
      </c>
      <c r="JL57" s="80" t="str">
        <f t="shared" si="39"/>
        <v>0</v>
      </c>
      <c r="JM57" s="80" t="str">
        <f t="shared" si="39"/>
        <v>0</v>
      </c>
      <c r="JN57" s="80" t="str">
        <f t="shared" si="39"/>
        <v>0</v>
      </c>
      <c r="JO57" s="80" t="str">
        <f t="shared" si="39"/>
        <v>0</v>
      </c>
      <c r="JP57" s="80" t="str">
        <f t="shared" si="39"/>
        <v>0</v>
      </c>
      <c r="JQ57" s="80" t="str">
        <f t="shared" si="39"/>
        <v>0</v>
      </c>
      <c r="JR57" s="80" t="str">
        <f t="shared" si="39"/>
        <v>0</v>
      </c>
      <c r="JS57" s="80" t="str">
        <f t="shared" si="39"/>
        <v>0</v>
      </c>
      <c r="JT57" s="80" t="str">
        <f t="shared" si="39"/>
        <v>0</v>
      </c>
      <c r="JU57" s="80" t="str">
        <f t="shared" si="39"/>
        <v>0</v>
      </c>
      <c r="JV57" s="80" t="str">
        <f t="shared" si="39"/>
        <v>0</v>
      </c>
      <c r="JW57" s="80" t="str">
        <f t="shared" si="39"/>
        <v>0</v>
      </c>
      <c r="JX57" s="80" t="str">
        <f t="shared" si="39"/>
        <v>0</v>
      </c>
      <c r="JY57" s="80" t="str">
        <f t="shared" si="39"/>
        <v>0</v>
      </c>
      <c r="JZ57" s="80" t="str">
        <f t="shared" si="39"/>
        <v>0</v>
      </c>
      <c r="KA57" s="80" t="str">
        <f t="shared" si="39"/>
        <v>0</v>
      </c>
      <c r="KB57" s="80" t="str">
        <f t="shared" si="39"/>
        <v>0</v>
      </c>
      <c r="KC57" s="80" t="str">
        <f t="shared" si="39"/>
        <v>0</v>
      </c>
      <c r="KD57" s="80" t="str">
        <f t="shared" si="39"/>
        <v>0</v>
      </c>
      <c r="KE57" s="80" t="str">
        <f t="shared" si="39"/>
        <v>0</v>
      </c>
      <c r="KF57" s="80" t="str">
        <f t="shared" si="39"/>
        <v>0</v>
      </c>
      <c r="KG57" s="80" t="str">
        <f t="shared" si="39"/>
        <v>0</v>
      </c>
      <c r="KH57" s="80" t="str">
        <f t="shared" si="39"/>
        <v>0</v>
      </c>
      <c r="KI57" s="80" t="str">
        <f t="shared" si="39"/>
        <v>0</v>
      </c>
      <c r="KJ57" s="80" t="str">
        <f t="shared" si="39"/>
        <v>0</v>
      </c>
      <c r="KK57" s="80" t="str">
        <f t="shared" si="39"/>
        <v>0</v>
      </c>
      <c r="KL57" s="80" t="str">
        <f t="shared" si="39"/>
        <v>0</v>
      </c>
      <c r="KM57" s="80" t="str">
        <f t="shared" si="39"/>
        <v>0</v>
      </c>
      <c r="KN57" s="80" t="str">
        <f t="shared" si="39"/>
        <v>0</v>
      </c>
      <c r="KO57" s="80" t="str">
        <f t="shared" si="39"/>
        <v>0</v>
      </c>
      <c r="KP57" s="80" t="str">
        <f t="shared" si="39"/>
        <v>0</v>
      </c>
      <c r="KQ57" s="80" t="str">
        <f t="shared" si="39"/>
        <v>0</v>
      </c>
      <c r="KR57" s="80" t="str">
        <f t="shared" si="39"/>
        <v>0</v>
      </c>
      <c r="KS57" s="80" t="str">
        <f t="shared" si="39"/>
        <v>0</v>
      </c>
      <c r="KT57" s="80" t="str">
        <f t="shared" si="39"/>
        <v>0</v>
      </c>
      <c r="KU57" s="80" t="str">
        <f t="shared" si="39"/>
        <v>0</v>
      </c>
      <c r="KV57" s="80" t="str">
        <f t="shared" si="39"/>
        <v>0</v>
      </c>
      <c r="KW57" s="80" t="str">
        <f t="shared" si="39"/>
        <v>0</v>
      </c>
      <c r="KX57" s="80" t="str">
        <f t="shared" si="39"/>
        <v>0</v>
      </c>
      <c r="KY57" s="80" t="str">
        <f t="shared" si="39"/>
        <v>0</v>
      </c>
      <c r="KZ57" s="80" t="str">
        <f t="shared" si="39"/>
        <v>0</v>
      </c>
      <c r="LA57" s="80" t="str">
        <f t="shared" si="39"/>
        <v>0</v>
      </c>
      <c r="LB57" s="80" t="str">
        <f t="shared" si="39"/>
        <v>0</v>
      </c>
      <c r="LC57" s="80" t="str">
        <f t="shared" si="39"/>
        <v>0</v>
      </c>
      <c r="LD57" s="80" t="str">
        <f t="shared" si="39"/>
        <v>0</v>
      </c>
      <c r="LE57" s="80" t="str">
        <f t="shared" si="39"/>
        <v>0</v>
      </c>
      <c r="LF57" s="80" t="str">
        <f t="shared" si="39"/>
        <v>0</v>
      </c>
      <c r="LG57" s="80" t="str">
        <f t="shared" si="39"/>
        <v>0</v>
      </c>
      <c r="LH57" s="80" t="str">
        <f t="shared" si="39"/>
        <v>0</v>
      </c>
      <c r="LI57" s="80" t="str">
        <f t="shared" si="39"/>
        <v>0</v>
      </c>
      <c r="LJ57" s="80" t="str">
        <f t="shared" si="39"/>
        <v>0</v>
      </c>
      <c r="LK57" s="80" t="str">
        <f t="shared" si="39"/>
        <v>0</v>
      </c>
      <c r="LL57" s="80" t="str">
        <f t="shared" si="39"/>
        <v>0</v>
      </c>
      <c r="LM57" s="80" t="str">
        <f t="shared" si="39"/>
        <v>0</v>
      </c>
      <c r="LN57" s="80" t="str">
        <f t="shared" si="39"/>
        <v>0</v>
      </c>
      <c r="LO57" s="80" t="str">
        <f t="shared" si="39"/>
        <v>0</v>
      </c>
      <c r="LP57" s="80" t="str">
        <f t="shared" si="39"/>
        <v>0</v>
      </c>
      <c r="LQ57" s="80" t="str">
        <f t="shared" si="39"/>
        <v>0</v>
      </c>
      <c r="LR57" s="80" t="str">
        <f t="shared" si="39"/>
        <v>0</v>
      </c>
      <c r="LS57" s="80" t="str">
        <f t="shared" si="39"/>
        <v>0</v>
      </c>
      <c r="LT57" s="80" t="str">
        <f t="shared" si="39"/>
        <v>0</v>
      </c>
      <c r="LU57" s="80" t="str">
        <f t="shared" si="39"/>
        <v>0</v>
      </c>
      <c r="LV57" s="80" t="str">
        <f t="shared" si="39"/>
        <v>0</v>
      </c>
      <c r="LW57" s="80" t="str">
        <f t="shared" si="39"/>
        <v>0</v>
      </c>
      <c r="LX57" s="80" t="str">
        <f t="shared" si="39"/>
        <v>0</v>
      </c>
      <c r="LY57" s="80" t="str">
        <f t="shared" si="39"/>
        <v>0</v>
      </c>
      <c r="LZ57" s="80" t="str">
        <f t="shared" si="39"/>
        <v>0</v>
      </c>
      <c r="MA57" s="80" t="str">
        <f t="shared" si="39"/>
        <v>0</v>
      </c>
      <c r="MB57" s="80" t="str">
        <f t="shared" si="39"/>
        <v>0</v>
      </c>
      <c r="MC57" s="80" t="str">
        <f t="shared" si="39"/>
        <v>0</v>
      </c>
      <c r="MD57" s="80" t="str">
        <f t="shared" si="39"/>
        <v>0</v>
      </c>
      <c r="ME57" s="80" t="str">
        <f t="shared" si="39"/>
        <v>0</v>
      </c>
      <c r="MF57" s="80" t="str">
        <f t="shared" si="39"/>
        <v>0</v>
      </c>
      <c r="MG57" s="80" t="str">
        <f t="shared" si="39"/>
        <v>0</v>
      </c>
      <c r="MH57" s="80" t="str">
        <f t="shared" si="39"/>
        <v>0</v>
      </c>
      <c r="MI57" s="80" t="str">
        <f t="shared" si="39"/>
        <v>0</v>
      </c>
      <c r="MJ57" s="80" t="str">
        <f t="shared" si="39"/>
        <v>0</v>
      </c>
      <c r="MK57" s="80" t="str">
        <f t="shared" si="39"/>
        <v>0</v>
      </c>
      <c r="ML57" s="80" t="str">
        <f t="shared" si="39"/>
        <v>0</v>
      </c>
      <c r="MM57" s="80" t="str">
        <f t="shared" si="39"/>
        <v>0</v>
      </c>
      <c r="MN57" s="80" t="str">
        <f t="shared" si="39"/>
        <v>0</v>
      </c>
      <c r="MO57" s="80" t="str">
        <f t="shared" si="39"/>
        <v>0</v>
      </c>
      <c r="MP57" s="80" t="str">
        <f t="shared" si="39"/>
        <v>0</v>
      </c>
      <c r="MQ57" s="80" t="str">
        <f t="shared" si="39"/>
        <v>0</v>
      </c>
      <c r="MR57" s="80" t="str">
        <f t="shared" si="39"/>
        <v>0</v>
      </c>
      <c r="MS57" s="80" t="str">
        <f t="shared" si="39"/>
        <v>0</v>
      </c>
      <c r="MT57" s="80" t="str">
        <f t="shared" si="39"/>
        <v>0</v>
      </c>
      <c r="MU57" s="80" t="str">
        <f t="shared" si="39"/>
        <v>0</v>
      </c>
      <c r="MV57" s="80" t="str">
        <f t="shared" si="39"/>
        <v>0</v>
      </c>
      <c r="MW57" s="80" t="str">
        <f t="shared" si="39"/>
        <v>0</v>
      </c>
      <c r="MX57" s="80" t="str">
        <f t="shared" si="39"/>
        <v>0</v>
      </c>
      <c r="MY57" s="80" t="str">
        <f t="shared" si="39"/>
        <v>0</v>
      </c>
      <c r="MZ57" s="80" t="str">
        <f t="shared" si="39"/>
        <v>0</v>
      </c>
      <c r="NA57" s="80" t="str">
        <f t="shared" si="39"/>
        <v>0</v>
      </c>
      <c r="NB57" s="80" t="str">
        <f t="shared" si="39"/>
        <v>0</v>
      </c>
      <c r="NC57" s="80" t="str">
        <f t="shared" si="39"/>
        <v>0</v>
      </c>
      <c r="ND57" s="80" t="str">
        <f t="shared" si="39"/>
        <v>0</v>
      </c>
      <c r="NE57" s="80" t="str">
        <f t="shared" si="39"/>
        <v>0</v>
      </c>
      <c r="NF57" s="80" t="str">
        <f t="shared" si="39"/>
        <v>0</v>
      </c>
      <c r="NG57" s="80" t="str">
        <f t="shared" si="39"/>
        <v>0</v>
      </c>
      <c r="NH57" s="80" t="str">
        <f t="shared" si="39"/>
        <v>0</v>
      </c>
      <c r="NI57" s="80" t="str">
        <f t="shared" si="39"/>
        <v>0</v>
      </c>
      <c r="NJ57" s="80" t="str">
        <f t="shared" si="39"/>
        <v>0</v>
      </c>
      <c r="NK57" s="80" t="str">
        <f t="shared" si="39"/>
        <v>0</v>
      </c>
      <c r="NL57" s="80" t="str">
        <f t="shared" si="39"/>
        <v>0</v>
      </c>
      <c r="NM57" s="80" t="str">
        <f t="shared" si="39"/>
        <v>0</v>
      </c>
      <c r="NN57" s="80" t="str">
        <f t="shared" si="39"/>
        <v>0</v>
      </c>
      <c r="NO57" s="80" t="str">
        <f t="shared" si="39"/>
        <v>0</v>
      </c>
      <c r="NP57" s="80" t="str">
        <f t="shared" si="39"/>
        <v>0</v>
      </c>
      <c r="NQ57" s="80" t="str">
        <f t="shared" si="39"/>
        <v>0</v>
      </c>
      <c r="NR57" s="80" t="str">
        <f t="shared" si="39"/>
        <v>0</v>
      </c>
      <c r="NS57" s="80" t="str">
        <f t="shared" si="39"/>
        <v>0</v>
      </c>
      <c r="NT57" s="80" t="str">
        <f t="shared" si="39"/>
        <v>0</v>
      </c>
      <c r="NU57" s="80" t="str">
        <f t="shared" si="39"/>
        <v>0</v>
      </c>
      <c r="NV57" s="80" t="str">
        <f t="shared" si="39"/>
        <v>0</v>
      </c>
      <c r="NW57" s="80" t="str">
        <f t="shared" si="39"/>
        <v>0</v>
      </c>
      <c r="NX57" s="80" t="str">
        <f t="shared" si="39"/>
        <v>0</v>
      </c>
      <c r="NY57" s="80" t="str">
        <f t="shared" si="39"/>
        <v>0</v>
      </c>
      <c r="NZ57" s="80" t="str">
        <f t="shared" si="39"/>
        <v>0</v>
      </c>
      <c r="OA57" s="80" t="str">
        <f t="shared" si="39"/>
        <v>0</v>
      </c>
      <c r="OB57" s="80" t="str">
        <f t="shared" si="39"/>
        <v>0</v>
      </c>
      <c r="OC57" s="80" t="str">
        <f t="shared" si="39"/>
        <v>0</v>
      </c>
      <c r="OD57" s="80" t="str">
        <f t="shared" si="39"/>
        <v>0</v>
      </c>
      <c r="OE57" s="80" t="str">
        <f t="shared" si="39"/>
        <v>0</v>
      </c>
      <c r="OF57" s="80" t="str">
        <f t="shared" si="39"/>
        <v>0</v>
      </c>
      <c r="OG57" s="80" t="str">
        <f t="shared" si="39"/>
        <v>0</v>
      </c>
      <c r="OH57" s="80" t="str">
        <f t="shared" si="39"/>
        <v>0</v>
      </c>
      <c r="OI57" s="80" t="str">
        <f t="shared" si="39"/>
        <v>0</v>
      </c>
      <c r="OJ57" s="80" t="str">
        <f t="shared" si="39"/>
        <v>0</v>
      </c>
      <c r="OK57" s="80" t="str">
        <f t="shared" si="39"/>
        <v>0</v>
      </c>
      <c r="OL57" s="80" t="str">
        <f t="shared" si="39"/>
        <v>0</v>
      </c>
      <c r="OM57" s="80" t="str">
        <f t="shared" si="39"/>
        <v>0</v>
      </c>
      <c r="ON57" s="80" t="str">
        <f t="shared" si="39"/>
        <v>0</v>
      </c>
      <c r="OO57" s="80" t="str">
        <f t="shared" si="39"/>
        <v>0</v>
      </c>
      <c r="OP57" s="80" t="str">
        <f t="shared" si="39"/>
        <v>0</v>
      </c>
      <c r="OQ57" s="80" t="str">
        <f t="shared" si="39"/>
        <v>0</v>
      </c>
      <c r="OR57" s="80" t="str">
        <f t="shared" si="39"/>
        <v>0</v>
      </c>
      <c r="OS57" s="80" t="str">
        <f t="shared" si="39"/>
        <v>0</v>
      </c>
      <c r="OT57" s="80" t="str">
        <f t="shared" si="39"/>
        <v>0</v>
      </c>
      <c r="OU57" s="80" t="str">
        <f t="shared" si="39"/>
        <v>0</v>
      </c>
      <c r="OV57" s="80" t="str">
        <f t="shared" si="39"/>
        <v>0</v>
      </c>
      <c r="OW57" s="80" t="str">
        <f t="shared" si="39"/>
        <v>0</v>
      </c>
      <c r="OX57" s="80" t="str">
        <f t="shared" si="39"/>
        <v>0</v>
      </c>
      <c r="OY57" s="80" t="str">
        <f t="shared" si="39"/>
        <v>0</v>
      </c>
      <c r="OZ57" s="80" t="str">
        <f t="shared" si="39"/>
        <v>0</v>
      </c>
      <c r="PA57" s="80" t="str">
        <f t="shared" si="39"/>
        <v>0</v>
      </c>
      <c r="PB57" s="80" t="str">
        <f t="shared" si="39"/>
        <v>0</v>
      </c>
      <c r="PC57" s="80" t="str">
        <f t="shared" si="39"/>
        <v>0</v>
      </c>
      <c r="PD57" s="80" t="str">
        <f t="shared" si="39"/>
        <v>0</v>
      </c>
      <c r="PE57" s="80" t="str">
        <f t="shared" si="39"/>
        <v>0</v>
      </c>
      <c r="PF57" s="80" t="str">
        <f t="shared" si="39"/>
        <v>0</v>
      </c>
      <c r="PG57" s="80" t="str">
        <f t="shared" si="39"/>
        <v>0</v>
      </c>
      <c r="PH57" s="80" t="str">
        <f t="shared" si="39"/>
        <v>0</v>
      </c>
      <c r="PI57" s="80" t="str">
        <f t="shared" si="39"/>
        <v>0</v>
      </c>
      <c r="PJ57" s="80" t="str">
        <f t="shared" si="39"/>
        <v>0</v>
      </c>
      <c r="PK57" s="80" t="str">
        <f t="shared" si="39"/>
        <v>0</v>
      </c>
      <c r="PL57" s="80" t="str">
        <f t="shared" si="39"/>
        <v>0</v>
      </c>
      <c r="PM57" s="80" t="str">
        <f t="shared" si="39"/>
        <v>0</v>
      </c>
      <c r="PN57" s="80" t="str">
        <f t="shared" si="39"/>
        <v>0</v>
      </c>
      <c r="PO57" s="80" t="str">
        <f t="shared" si="39"/>
        <v>0</v>
      </c>
      <c r="PP57" s="80" t="str">
        <f t="shared" si="39"/>
        <v>0</v>
      </c>
      <c r="PQ57" s="80" t="str">
        <f t="shared" si="39"/>
        <v>0</v>
      </c>
      <c r="PR57" s="80" t="str">
        <f t="shared" si="39"/>
        <v>0</v>
      </c>
      <c r="PS57" s="80" t="str">
        <f t="shared" si="39"/>
        <v>0</v>
      </c>
      <c r="PT57" s="80" t="str">
        <f t="shared" si="39"/>
        <v>0</v>
      </c>
      <c r="PU57" s="80" t="str">
        <f t="shared" si="39"/>
        <v>0</v>
      </c>
      <c r="PV57" s="80" t="str">
        <f t="shared" si="39"/>
        <v>0</v>
      </c>
      <c r="PW57" s="80" t="str">
        <f t="shared" si="39"/>
        <v>0</v>
      </c>
      <c r="PX57" s="80" t="str">
        <f t="shared" si="39"/>
        <v>0</v>
      </c>
      <c r="PY57" s="80" t="str">
        <f t="shared" si="39"/>
        <v>0</v>
      </c>
      <c r="PZ57" s="80" t="str">
        <f t="shared" si="39"/>
        <v>0</v>
      </c>
      <c r="QA57" s="80" t="str">
        <f t="shared" si="39"/>
        <v>0</v>
      </c>
      <c r="QB57" s="80" t="str">
        <f t="shared" si="39"/>
        <v>0</v>
      </c>
      <c r="QC57" s="80" t="str">
        <f t="shared" si="39"/>
        <v>0</v>
      </c>
      <c r="QD57" s="80" t="str">
        <f t="shared" si="39"/>
        <v>0</v>
      </c>
      <c r="QE57" s="80" t="str">
        <f t="shared" si="39"/>
        <v>0</v>
      </c>
      <c r="QF57" s="80" t="str">
        <f t="shared" si="39"/>
        <v>0</v>
      </c>
      <c r="QG57" s="80" t="str">
        <f t="shared" si="39"/>
        <v>0</v>
      </c>
      <c r="QH57" s="80" t="str">
        <f t="shared" si="39"/>
        <v>0</v>
      </c>
      <c r="QI57" s="80" t="str">
        <f t="shared" si="39"/>
        <v>0</v>
      </c>
      <c r="QJ57" s="80" t="str">
        <f t="shared" si="39"/>
        <v>0</v>
      </c>
      <c r="QK57" s="80" t="str">
        <f t="shared" si="39"/>
        <v>0</v>
      </c>
      <c r="QL57" s="80" t="str">
        <f t="shared" si="39"/>
        <v>0</v>
      </c>
      <c r="QM57" s="80" t="str">
        <f t="shared" si="39"/>
        <v>0</v>
      </c>
      <c r="QN57" s="80" t="str">
        <f t="shared" si="39"/>
        <v>0</v>
      </c>
      <c r="QO57" s="80" t="str">
        <f t="shared" si="39"/>
        <v>0</v>
      </c>
      <c r="QP57" s="80" t="str">
        <f t="shared" si="39"/>
        <v>0</v>
      </c>
      <c r="QQ57" s="80" t="str">
        <f t="shared" si="39"/>
        <v>0</v>
      </c>
      <c r="QR57" s="80" t="str">
        <f t="shared" si="39"/>
        <v>0</v>
      </c>
      <c r="QS57" s="80" t="str">
        <f t="shared" si="39"/>
        <v>0</v>
      </c>
      <c r="QT57" s="80" t="str">
        <f t="shared" si="39"/>
        <v>0</v>
      </c>
      <c r="QU57" s="80" t="str">
        <f t="shared" si="39"/>
        <v>0</v>
      </c>
      <c r="QV57" s="80" t="str">
        <f t="shared" si="39"/>
        <v>0</v>
      </c>
      <c r="QW57" s="80" t="str">
        <f t="shared" si="39"/>
        <v>0</v>
      </c>
      <c r="QX57" s="80" t="str">
        <f t="shared" si="39"/>
        <v>0</v>
      </c>
      <c r="QY57" s="80" t="str">
        <f t="shared" si="39"/>
        <v>0</v>
      </c>
      <c r="QZ57" s="80" t="str">
        <f t="shared" si="39"/>
        <v>0</v>
      </c>
      <c r="RA57" s="80" t="str">
        <f t="shared" si="39"/>
        <v>0</v>
      </c>
      <c r="RB57" s="80" t="str">
        <f t="shared" si="39"/>
        <v>0</v>
      </c>
      <c r="RC57" s="80" t="str">
        <f t="shared" si="39"/>
        <v>0</v>
      </c>
      <c r="RD57" s="80" t="str">
        <f t="shared" si="39"/>
        <v>0</v>
      </c>
      <c r="RE57" s="80" t="str">
        <f t="shared" si="39"/>
        <v>0</v>
      </c>
      <c r="RF57" s="80" t="str">
        <f t="shared" si="39"/>
        <v>0</v>
      </c>
      <c r="RG57" s="80" t="str">
        <f t="shared" si="39"/>
        <v>0</v>
      </c>
      <c r="RH57" s="80" t="str">
        <f t="shared" si="39"/>
        <v>0</v>
      </c>
      <c r="RI57" s="80" t="str">
        <f t="shared" si="39"/>
        <v>0</v>
      </c>
      <c r="RJ57" s="80" t="str">
        <f t="shared" si="39"/>
        <v>0</v>
      </c>
      <c r="RK57" s="80" t="str">
        <f t="shared" si="39"/>
        <v>0</v>
      </c>
      <c r="RL57" s="80" t="str">
        <f t="shared" si="39"/>
        <v>0</v>
      </c>
      <c r="RM57" s="80" t="str">
        <f t="shared" si="39"/>
        <v>0</v>
      </c>
      <c r="RN57" s="80" t="str">
        <f t="shared" si="39"/>
        <v>0</v>
      </c>
      <c r="RO57" s="80" t="str">
        <f t="shared" si="39"/>
        <v>0</v>
      </c>
      <c r="RP57" s="80" t="str">
        <f t="shared" si="39"/>
        <v>0</v>
      </c>
      <c r="RQ57" s="80" t="str">
        <f t="shared" si="39"/>
        <v>0</v>
      </c>
      <c r="RR57" s="80" t="str">
        <f t="shared" si="39"/>
        <v>0</v>
      </c>
      <c r="RS57" s="80" t="str">
        <f t="shared" si="39"/>
        <v>0</v>
      </c>
      <c r="RT57" s="80" t="str">
        <f t="shared" si="39"/>
        <v>0</v>
      </c>
      <c r="RU57" s="80" t="str">
        <f t="shared" si="39"/>
        <v>0</v>
      </c>
      <c r="RV57" s="80" t="str">
        <f t="shared" si="39"/>
        <v>0</v>
      </c>
      <c r="RW57" s="80" t="str">
        <f t="shared" si="39"/>
        <v>0</v>
      </c>
      <c r="RX57" s="80" t="str">
        <f t="shared" si="39"/>
        <v>0</v>
      </c>
      <c r="RY57" s="80" t="str">
        <f t="shared" si="39"/>
        <v>0</v>
      </c>
      <c r="RZ57" s="80" t="str">
        <f t="shared" si="39"/>
        <v>0</v>
      </c>
      <c r="SA57" s="80" t="str">
        <f t="shared" si="39"/>
        <v>0</v>
      </c>
      <c r="SB57" s="80" t="str">
        <f t="shared" si="39"/>
        <v>0</v>
      </c>
      <c r="SC57" s="80" t="str">
        <f t="shared" si="39"/>
        <v>0</v>
      </c>
    </row>
    <row r="58" spans="1:497" ht="27" hidden="1" customHeight="1" x14ac:dyDescent="0.15">
      <c r="A58" s="79"/>
      <c r="B58" s="79"/>
      <c r="C58" s="79" t="s">
        <v>121</v>
      </c>
      <c r="D58" s="79" t="s">
        <v>81</v>
      </c>
      <c r="E58" s="79" t="s">
        <v>122</v>
      </c>
      <c r="F58" s="94"/>
      <c r="G58" s="94"/>
      <c r="H58" s="80" t="str">
        <f t="shared" ref="H58:JB58" si="40">IF(SUM(H56,G56)=2,G58, IF(AND(H53&lt;0,H54="True",H55="True"),G53+1, IF(H54="",H53,G58+H56)))</f>
        <v/>
      </c>
      <c r="I58" s="80" t="str">
        <f t="shared" si="40"/>
        <v/>
      </c>
      <c r="J58" s="80" t="str">
        <f t="shared" si="40"/>
        <v/>
      </c>
      <c r="K58" s="80" t="str">
        <f t="shared" si="40"/>
        <v/>
      </c>
      <c r="L58" s="80" t="str">
        <f t="shared" si="40"/>
        <v/>
      </c>
      <c r="M58" s="80" t="str">
        <f>IF(SUM(M56,L56)=2,L58, IF(AND(M53&lt;0,M54="True",M55="True"),L53+1, IF(M54="",M53,L58+M56)))</f>
        <v/>
      </c>
      <c r="N58" s="80" t="str">
        <f t="shared" si="40"/>
        <v/>
      </c>
      <c r="O58" s="80" t="str">
        <f t="shared" si="40"/>
        <v/>
      </c>
      <c r="P58" s="80" t="str">
        <f t="shared" si="40"/>
        <v/>
      </c>
      <c r="Q58" s="80" t="str">
        <f t="shared" si="40"/>
        <v/>
      </c>
      <c r="R58" s="80" t="str">
        <f t="shared" si="40"/>
        <v/>
      </c>
      <c r="S58" s="80" t="str">
        <f t="shared" si="40"/>
        <v/>
      </c>
      <c r="T58" s="80" t="str">
        <f t="shared" si="40"/>
        <v/>
      </c>
      <c r="U58" s="80" t="str">
        <f t="shared" si="40"/>
        <v/>
      </c>
      <c r="V58" s="80" t="str">
        <f t="shared" si="40"/>
        <v/>
      </c>
      <c r="W58" s="80" t="str">
        <f t="shared" si="40"/>
        <v/>
      </c>
      <c r="X58" s="80" t="str">
        <f t="shared" si="40"/>
        <v/>
      </c>
      <c r="Y58" s="80" t="str">
        <f t="shared" si="40"/>
        <v/>
      </c>
      <c r="Z58" s="80" t="str">
        <f t="shared" si="40"/>
        <v/>
      </c>
      <c r="AA58" s="80" t="str">
        <f t="shared" si="40"/>
        <v/>
      </c>
      <c r="AB58" s="80" t="str">
        <f t="shared" si="40"/>
        <v/>
      </c>
      <c r="AC58" s="80" t="str">
        <f t="shared" si="40"/>
        <v/>
      </c>
      <c r="AD58" s="80" t="str">
        <f t="shared" si="40"/>
        <v/>
      </c>
      <c r="AE58" s="80" t="str">
        <f t="shared" si="40"/>
        <v/>
      </c>
      <c r="AF58" s="80" t="str">
        <f t="shared" si="40"/>
        <v/>
      </c>
      <c r="AG58" s="80" t="str">
        <f t="shared" si="40"/>
        <v/>
      </c>
      <c r="AH58" s="80" t="str">
        <f t="shared" si="40"/>
        <v/>
      </c>
      <c r="AI58" s="80" t="str">
        <f t="shared" si="40"/>
        <v/>
      </c>
      <c r="AJ58" s="80" t="str">
        <f t="shared" si="40"/>
        <v/>
      </c>
      <c r="AK58" s="80" t="str">
        <f t="shared" si="40"/>
        <v/>
      </c>
      <c r="AL58" s="80" t="str">
        <f t="shared" si="40"/>
        <v/>
      </c>
      <c r="AM58" s="80" t="str">
        <f t="shared" si="40"/>
        <v/>
      </c>
      <c r="AN58" s="80" t="str">
        <f t="shared" si="40"/>
        <v/>
      </c>
      <c r="AO58" s="80" t="str">
        <f t="shared" si="40"/>
        <v/>
      </c>
      <c r="AP58" s="80" t="str">
        <f t="shared" si="40"/>
        <v/>
      </c>
      <c r="AQ58" s="80" t="str">
        <f t="shared" si="40"/>
        <v/>
      </c>
      <c r="AR58" s="80" t="str">
        <f t="shared" si="40"/>
        <v/>
      </c>
      <c r="AS58" s="80" t="str">
        <f t="shared" si="40"/>
        <v/>
      </c>
      <c r="AT58" s="80" t="str">
        <f t="shared" si="40"/>
        <v/>
      </c>
      <c r="AU58" s="80" t="str">
        <f t="shared" si="40"/>
        <v/>
      </c>
      <c r="AV58" s="80" t="str">
        <f t="shared" si="40"/>
        <v/>
      </c>
      <c r="AW58" s="80" t="str">
        <f t="shared" si="40"/>
        <v/>
      </c>
      <c r="AX58" s="80" t="str">
        <f t="shared" si="40"/>
        <v/>
      </c>
      <c r="AY58" s="80" t="str">
        <f t="shared" si="40"/>
        <v/>
      </c>
      <c r="AZ58" s="80" t="str">
        <f t="shared" si="40"/>
        <v/>
      </c>
      <c r="BA58" s="80" t="str">
        <f t="shared" si="40"/>
        <v/>
      </c>
      <c r="BB58" s="80" t="str">
        <f t="shared" si="40"/>
        <v/>
      </c>
      <c r="BC58" s="80" t="str">
        <f t="shared" si="40"/>
        <v/>
      </c>
      <c r="BD58" s="80" t="str">
        <f t="shared" si="40"/>
        <v/>
      </c>
      <c r="BE58" s="80" t="str">
        <f t="shared" si="40"/>
        <v/>
      </c>
      <c r="BF58" s="80" t="str">
        <f t="shared" si="40"/>
        <v/>
      </c>
      <c r="BG58" s="80" t="str">
        <f t="shared" si="40"/>
        <v/>
      </c>
      <c r="BH58" s="80" t="str">
        <f t="shared" si="40"/>
        <v/>
      </c>
      <c r="BI58" s="80" t="str">
        <f t="shared" si="40"/>
        <v/>
      </c>
      <c r="BJ58" s="80" t="str">
        <f t="shared" si="40"/>
        <v/>
      </c>
      <c r="BK58" s="80" t="str">
        <f t="shared" si="40"/>
        <v/>
      </c>
      <c r="BL58" s="80" t="str">
        <f t="shared" si="40"/>
        <v/>
      </c>
      <c r="BM58" s="80" t="str">
        <f t="shared" si="40"/>
        <v/>
      </c>
      <c r="BN58" s="80" t="str">
        <f t="shared" si="40"/>
        <v/>
      </c>
      <c r="BO58" s="80" t="str">
        <f t="shared" si="40"/>
        <v/>
      </c>
      <c r="BP58" s="80" t="str">
        <f t="shared" si="40"/>
        <v/>
      </c>
      <c r="BQ58" s="80" t="str">
        <f t="shared" si="40"/>
        <v/>
      </c>
      <c r="BR58" s="80" t="str">
        <f t="shared" si="40"/>
        <v/>
      </c>
      <c r="BS58" s="80" t="str">
        <f t="shared" si="40"/>
        <v/>
      </c>
      <c r="BT58" s="80" t="str">
        <f t="shared" si="40"/>
        <v/>
      </c>
      <c r="BU58" s="80" t="str">
        <f t="shared" si="40"/>
        <v/>
      </c>
      <c r="BV58" s="80" t="str">
        <f t="shared" si="40"/>
        <v/>
      </c>
      <c r="BW58" s="80" t="str">
        <f t="shared" si="40"/>
        <v/>
      </c>
      <c r="BX58" s="80" t="str">
        <f t="shared" si="40"/>
        <v/>
      </c>
      <c r="BY58" s="80" t="str">
        <f t="shared" si="40"/>
        <v/>
      </c>
      <c r="BZ58" s="80" t="str">
        <f t="shared" si="40"/>
        <v/>
      </c>
      <c r="CA58" s="80" t="str">
        <f t="shared" si="40"/>
        <v/>
      </c>
      <c r="CB58" s="80" t="str">
        <f t="shared" si="40"/>
        <v/>
      </c>
      <c r="CC58" s="80" t="str">
        <f t="shared" si="40"/>
        <v/>
      </c>
      <c r="CD58" s="80" t="str">
        <f t="shared" si="40"/>
        <v/>
      </c>
      <c r="CE58" s="80" t="str">
        <f t="shared" si="40"/>
        <v/>
      </c>
      <c r="CF58" s="80" t="str">
        <f t="shared" si="40"/>
        <v/>
      </c>
      <c r="CG58" s="80" t="str">
        <f t="shared" si="40"/>
        <v/>
      </c>
      <c r="CH58" s="80" t="str">
        <f t="shared" si="40"/>
        <v/>
      </c>
      <c r="CI58" s="80" t="str">
        <f t="shared" si="40"/>
        <v/>
      </c>
      <c r="CJ58" s="80" t="str">
        <f t="shared" si="40"/>
        <v/>
      </c>
      <c r="CK58" s="80" t="str">
        <f t="shared" si="40"/>
        <v/>
      </c>
      <c r="CL58" s="80" t="str">
        <f t="shared" si="40"/>
        <v/>
      </c>
      <c r="CM58" s="80" t="str">
        <f t="shared" si="40"/>
        <v/>
      </c>
      <c r="CN58" s="80" t="str">
        <f t="shared" si="40"/>
        <v/>
      </c>
      <c r="CO58" s="80" t="str">
        <f t="shared" si="40"/>
        <v/>
      </c>
      <c r="CP58" s="80" t="str">
        <f t="shared" si="40"/>
        <v/>
      </c>
      <c r="CQ58" s="80" t="str">
        <f t="shared" si="40"/>
        <v/>
      </c>
      <c r="CR58" s="80" t="str">
        <f t="shared" si="40"/>
        <v/>
      </c>
      <c r="CS58" s="80" t="str">
        <f t="shared" si="40"/>
        <v/>
      </c>
      <c r="CT58" s="80" t="str">
        <f t="shared" si="40"/>
        <v/>
      </c>
      <c r="CU58" s="80" t="str">
        <f t="shared" si="40"/>
        <v/>
      </c>
      <c r="CV58" s="80" t="str">
        <f t="shared" si="40"/>
        <v/>
      </c>
      <c r="CW58" s="80" t="str">
        <f t="shared" si="40"/>
        <v/>
      </c>
      <c r="CX58" s="80" t="str">
        <f t="shared" si="40"/>
        <v/>
      </c>
      <c r="CY58" s="80" t="str">
        <f t="shared" si="40"/>
        <v/>
      </c>
      <c r="CZ58" s="80" t="str">
        <f t="shared" si="40"/>
        <v/>
      </c>
      <c r="DA58" s="80" t="str">
        <f t="shared" si="40"/>
        <v/>
      </c>
      <c r="DB58" s="80" t="str">
        <f t="shared" si="40"/>
        <v/>
      </c>
      <c r="DC58" s="80" t="str">
        <f t="shared" si="40"/>
        <v/>
      </c>
      <c r="DD58" s="80" t="str">
        <f t="shared" si="40"/>
        <v/>
      </c>
      <c r="DE58" s="80" t="str">
        <f t="shared" si="40"/>
        <v/>
      </c>
      <c r="DF58" s="80" t="str">
        <f t="shared" si="40"/>
        <v/>
      </c>
      <c r="DG58" s="80" t="str">
        <f t="shared" si="40"/>
        <v/>
      </c>
      <c r="DH58" s="80" t="str">
        <f t="shared" si="40"/>
        <v/>
      </c>
      <c r="DI58" s="80" t="str">
        <f t="shared" si="40"/>
        <v/>
      </c>
      <c r="DJ58" s="80" t="str">
        <f t="shared" si="40"/>
        <v/>
      </c>
      <c r="DK58" s="80" t="str">
        <f t="shared" si="40"/>
        <v/>
      </c>
      <c r="DL58" s="80" t="str">
        <f t="shared" si="40"/>
        <v/>
      </c>
      <c r="DM58" s="80" t="str">
        <f t="shared" si="40"/>
        <v/>
      </c>
      <c r="DN58" s="80" t="str">
        <f t="shared" si="40"/>
        <v/>
      </c>
      <c r="DO58" s="80" t="str">
        <f t="shared" si="40"/>
        <v/>
      </c>
      <c r="DP58" s="80" t="str">
        <f t="shared" si="40"/>
        <v/>
      </c>
      <c r="DQ58" s="80" t="str">
        <f t="shared" si="40"/>
        <v/>
      </c>
      <c r="DR58" s="80" t="str">
        <f t="shared" si="40"/>
        <v/>
      </c>
      <c r="DS58" s="80" t="str">
        <f t="shared" si="40"/>
        <v/>
      </c>
      <c r="DT58" s="80" t="str">
        <f t="shared" si="40"/>
        <v/>
      </c>
      <c r="DU58" s="80" t="str">
        <f t="shared" si="40"/>
        <v/>
      </c>
      <c r="DV58" s="80" t="str">
        <f t="shared" si="40"/>
        <v/>
      </c>
      <c r="DW58" s="80" t="str">
        <f t="shared" si="40"/>
        <v/>
      </c>
      <c r="DX58" s="80" t="str">
        <f t="shared" si="40"/>
        <v/>
      </c>
      <c r="DY58" s="80" t="str">
        <f t="shared" si="40"/>
        <v/>
      </c>
      <c r="DZ58" s="80" t="str">
        <f t="shared" si="40"/>
        <v/>
      </c>
      <c r="EA58" s="80" t="str">
        <f t="shared" si="40"/>
        <v/>
      </c>
      <c r="EB58" s="80" t="str">
        <f t="shared" si="40"/>
        <v/>
      </c>
      <c r="EC58" s="80" t="str">
        <f t="shared" si="40"/>
        <v/>
      </c>
      <c r="ED58" s="80" t="str">
        <f t="shared" si="40"/>
        <v/>
      </c>
      <c r="EE58" s="80" t="str">
        <f t="shared" si="40"/>
        <v/>
      </c>
      <c r="EF58" s="80" t="str">
        <f t="shared" si="40"/>
        <v/>
      </c>
      <c r="EG58" s="80" t="str">
        <f t="shared" si="40"/>
        <v/>
      </c>
      <c r="EH58" s="80" t="str">
        <f t="shared" si="40"/>
        <v/>
      </c>
      <c r="EI58" s="80" t="str">
        <f t="shared" si="40"/>
        <v/>
      </c>
      <c r="EJ58" s="80" t="str">
        <f t="shared" si="40"/>
        <v/>
      </c>
      <c r="EK58" s="80" t="str">
        <f t="shared" si="40"/>
        <v/>
      </c>
      <c r="EL58" s="80" t="str">
        <f t="shared" si="40"/>
        <v/>
      </c>
      <c r="EM58" s="80" t="str">
        <f t="shared" si="40"/>
        <v/>
      </c>
      <c r="EN58" s="80" t="str">
        <f t="shared" si="40"/>
        <v/>
      </c>
      <c r="EO58" s="80" t="str">
        <f t="shared" si="40"/>
        <v/>
      </c>
      <c r="EP58" s="80" t="str">
        <f t="shared" si="40"/>
        <v/>
      </c>
      <c r="EQ58" s="80" t="str">
        <f t="shared" si="40"/>
        <v/>
      </c>
      <c r="ER58" s="80" t="str">
        <f t="shared" si="40"/>
        <v/>
      </c>
      <c r="ES58" s="80" t="str">
        <f t="shared" si="40"/>
        <v/>
      </c>
      <c r="ET58" s="80" t="str">
        <f t="shared" si="40"/>
        <v/>
      </c>
      <c r="EU58" s="80" t="str">
        <f t="shared" si="40"/>
        <v/>
      </c>
      <c r="EV58" s="80" t="str">
        <f t="shared" si="40"/>
        <v/>
      </c>
      <c r="EW58" s="80" t="str">
        <f t="shared" si="40"/>
        <v/>
      </c>
      <c r="EX58" s="80" t="str">
        <f t="shared" si="40"/>
        <v/>
      </c>
      <c r="EY58" s="80" t="str">
        <f t="shared" si="40"/>
        <v/>
      </c>
      <c r="EZ58" s="80" t="str">
        <f t="shared" si="40"/>
        <v/>
      </c>
      <c r="FA58" s="80" t="str">
        <f t="shared" si="40"/>
        <v/>
      </c>
      <c r="FB58" s="80" t="str">
        <f t="shared" si="40"/>
        <v/>
      </c>
      <c r="FC58" s="80" t="str">
        <f t="shared" si="40"/>
        <v/>
      </c>
      <c r="FD58" s="80" t="str">
        <f t="shared" si="40"/>
        <v/>
      </c>
      <c r="FE58" s="80" t="str">
        <f t="shared" si="40"/>
        <v/>
      </c>
      <c r="FF58" s="80" t="str">
        <f t="shared" si="40"/>
        <v/>
      </c>
      <c r="FG58" s="80" t="str">
        <f t="shared" si="40"/>
        <v/>
      </c>
      <c r="FH58" s="80" t="str">
        <f t="shared" si="40"/>
        <v/>
      </c>
      <c r="FI58" s="80" t="str">
        <f t="shared" si="40"/>
        <v/>
      </c>
      <c r="FJ58" s="80" t="str">
        <f t="shared" si="40"/>
        <v/>
      </c>
      <c r="FK58" s="80" t="str">
        <f t="shared" si="40"/>
        <v/>
      </c>
      <c r="FL58" s="80" t="str">
        <f t="shared" si="40"/>
        <v/>
      </c>
      <c r="FM58" s="80" t="str">
        <f t="shared" si="40"/>
        <v/>
      </c>
      <c r="FN58" s="80" t="str">
        <f t="shared" si="40"/>
        <v/>
      </c>
      <c r="FO58" s="80" t="str">
        <f t="shared" si="40"/>
        <v/>
      </c>
      <c r="FP58" s="80" t="str">
        <f t="shared" si="40"/>
        <v/>
      </c>
      <c r="FQ58" s="80" t="str">
        <f t="shared" si="40"/>
        <v/>
      </c>
      <c r="FR58" s="80" t="str">
        <f t="shared" si="40"/>
        <v/>
      </c>
      <c r="FS58" s="80" t="str">
        <f t="shared" si="40"/>
        <v/>
      </c>
      <c r="FT58" s="80" t="str">
        <f t="shared" si="40"/>
        <v/>
      </c>
      <c r="FU58" s="80" t="str">
        <f t="shared" si="40"/>
        <v/>
      </c>
      <c r="FV58" s="80" t="str">
        <f t="shared" si="40"/>
        <v/>
      </c>
      <c r="FW58" s="80" t="str">
        <f t="shared" si="40"/>
        <v/>
      </c>
      <c r="FX58" s="80" t="str">
        <f t="shared" si="40"/>
        <v/>
      </c>
      <c r="FY58" s="80" t="str">
        <f t="shared" si="40"/>
        <v/>
      </c>
      <c r="FZ58" s="80" t="str">
        <f t="shared" si="40"/>
        <v/>
      </c>
      <c r="GA58" s="80" t="str">
        <f t="shared" si="40"/>
        <v/>
      </c>
      <c r="GB58" s="80" t="str">
        <f t="shared" si="40"/>
        <v/>
      </c>
      <c r="GC58" s="80" t="str">
        <f t="shared" si="40"/>
        <v/>
      </c>
      <c r="GD58" s="80" t="str">
        <f t="shared" si="40"/>
        <v/>
      </c>
      <c r="GE58" s="80" t="str">
        <f t="shared" si="40"/>
        <v/>
      </c>
      <c r="GF58" s="80" t="str">
        <f t="shared" si="40"/>
        <v/>
      </c>
      <c r="GG58" s="80" t="str">
        <f t="shared" si="40"/>
        <v/>
      </c>
      <c r="GH58" s="80" t="str">
        <f t="shared" si="40"/>
        <v/>
      </c>
      <c r="GI58" s="80" t="str">
        <f t="shared" si="40"/>
        <v/>
      </c>
      <c r="GJ58" s="80" t="str">
        <f t="shared" si="40"/>
        <v/>
      </c>
      <c r="GK58" s="80" t="str">
        <f t="shared" si="40"/>
        <v/>
      </c>
      <c r="GL58" s="80" t="str">
        <f t="shared" si="40"/>
        <v/>
      </c>
      <c r="GM58" s="80" t="str">
        <f t="shared" si="40"/>
        <v/>
      </c>
      <c r="GN58" s="80" t="str">
        <f t="shared" si="40"/>
        <v/>
      </c>
      <c r="GO58" s="80" t="str">
        <f t="shared" si="40"/>
        <v/>
      </c>
      <c r="GP58" s="80" t="str">
        <f t="shared" si="40"/>
        <v/>
      </c>
      <c r="GQ58" s="80" t="str">
        <f t="shared" si="40"/>
        <v/>
      </c>
      <c r="GR58" s="80" t="str">
        <f t="shared" si="40"/>
        <v/>
      </c>
      <c r="GS58" s="80" t="str">
        <f t="shared" si="40"/>
        <v/>
      </c>
      <c r="GT58" s="80" t="str">
        <f t="shared" si="40"/>
        <v/>
      </c>
      <c r="GU58" s="80" t="str">
        <f t="shared" si="40"/>
        <v/>
      </c>
      <c r="GV58" s="80" t="str">
        <f t="shared" si="40"/>
        <v/>
      </c>
      <c r="GW58" s="80" t="str">
        <f t="shared" si="40"/>
        <v/>
      </c>
      <c r="GX58" s="80" t="str">
        <f t="shared" si="40"/>
        <v/>
      </c>
      <c r="GY58" s="80" t="str">
        <f t="shared" si="40"/>
        <v/>
      </c>
      <c r="GZ58" s="80" t="str">
        <f t="shared" si="40"/>
        <v/>
      </c>
      <c r="HA58" s="80" t="str">
        <f t="shared" si="40"/>
        <v/>
      </c>
      <c r="HB58" s="80" t="str">
        <f t="shared" si="40"/>
        <v/>
      </c>
      <c r="HC58" s="80" t="str">
        <f t="shared" si="40"/>
        <v/>
      </c>
      <c r="HD58" s="80" t="str">
        <f t="shared" si="40"/>
        <v/>
      </c>
      <c r="HE58" s="80" t="str">
        <f t="shared" si="40"/>
        <v/>
      </c>
      <c r="HF58" s="80" t="str">
        <f t="shared" si="40"/>
        <v/>
      </c>
      <c r="HG58" s="80" t="str">
        <f t="shared" si="40"/>
        <v/>
      </c>
      <c r="HH58" s="80" t="str">
        <f t="shared" si="40"/>
        <v/>
      </c>
      <c r="HI58" s="80" t="str">
        <f t="shared" si="40"/>
        <v/>
      </c>
      <c r="HJ58" s="80" t="str">
        <f t="shared" si="40"/>
        <v/>
      </c>
      <c r="HK58" s="80" t="str">
        <f t="shared" si="40"/>
        <v/>
      </c>
      <c r="HL58" s="80" t="str">
        <f t="shared" si="40"/>
        <v/>
      </c>
      <c r="HM58" s="80" t="str">
        <f t="shared" si="40"/>
        <v/>
      </c>
      <c r="HN58" s="80" t="str">
        <f t="shared" si="40"/>
        <v/>
      </c>
      <c r="HO58" s="80" t="str">
        <f t="shared" si="40"/>
        <v/>
      </c>
      <c r="HP58" s="80" t="str">
        <f t="shared" si="40"/>
        <v/>
      </c>
      <c r="HQ58" s="80" t="str">
        <f t="shared" si="40"/>
        <v/>
      </c>
      <c r="HR58" s="80" t="str">
        <f t="shared" si="40"/>
        <v/>
      </c>
      <c r="HS58" s="80" t="str">
        <f t="shared" si="40"/>
        <v/>
      </c>
      <c r="HT58" s="80" t="str">
        <f t="shared" si="40"/>
        <v/>
      </c>
      <c r="HU58" s="80" t="str">
        <f t="shared" si="40"/>
        <v/>
      </c>
      <c r="HV58" s="80" t="str">
        <f t="shared" si="40"/>
        <v/>
      </c>
      <c r="HW58" s="80" t="str">
        <f t="shared" si="40"/>
        <v/>
      </c>
      <c r="HX58" s="80" t="str">
        <f t="shared" si="40"/>
        <v/>
      </c>
      <c r="HY58" s="80" t="str">
        <f t="shared" si="40"/>
        <v/>
      </c>
      <c r="HZ58" s="80" t="str">
        <f t="shared" si="40"/>
        <v/>
      </c>
      <c r="IA58" s="80" t="str">
        <f t="shared" si="40"/>
        <v/>
      </c>
      <c r="IB58" s="80" t="str">
        <f t="shared" si="40"/>
        <v/>
      </c>
      <c r="IC58" s="80" t="str">
        <f t="shared" si="40"/>
        <v/>
      </c>
      <c r="ID58" s="80" t="str">
        <f t="shared" si="40"/>
        <v/>
      </c>
      <c r="IE58" s="80" t="str">
        <f t="shared" si="40"/>
        <v/>
      </c>
      <c r="IF58" s="80" t="str">
        <f t="shared" si="40"/>
        <v/>
      </c>
      <c r="IG58" s="80" t="str">
        <f t="shared" si="40"/>
        <v/>
      </c>
      <c r="IH58" s="80" t="str">
        <f t="shared" si="40"/>
        <v/>
      </c>
      <c r="II58" s="80" t="str">
        <f t="shared" si="40"/>
        <v/>
      </c>
      <c r="IJ58" s="80" t="str">
        <f t="shared" si="40"/>
        <v/>
      </c>
      <c r="IK58" s="80" t="str">
        <f t="shared" si="40"/>
        <v/>
      </c>
      <c r="IL58" s="80" t="str">
        <f t="shared" si="40"/>
        <v/>
      </c>
      <c r="IM58" s="80" t="str">
        <f t="shared" si="40"/>
        <v/>
      </c>
      <c r="IN58" s="80" t="str">
        <f t="shared" si="40"/>
        <v/>
      </c>
      <c r="IO58" s="80" t="str">
        <f t="shared" si="40"/>
        <v/>
      </c>
      <c r="IP58" s="80" t="str">
        <f t="shared" si="40"/>
        <v/>
      </c>
      <c r="IQ58" s="80" t="str">
        <f t="shared" si="40"/>
        <v/>
      </c>
      <c r="IR58" s="80" t="str">
        <f t="shared" si="40"/>
        <v/>
      </c>
      <c r="IS58" s="80" t="str">
        <f t="shared" si="40"/>
        <v/>
      </c>
      <c r="IT58" s="80" t="str">
        <f t="shared" si="40"/>
        <v/>
      </c>
      <c r="IU58" s="80" t="str">
        <f t="shared" si="40"/>
        <v/>
      </c>
      <c r="IV58" s="80" t="str">
        <f t="shared" si="40"/>
        <v/>
      </c>
      <c r="IW58" s="80" t="str">
        <f t="shared" si="40"/>
        <v/>
      </c>
      <c r="IX58" s="80" t="str">
        <f t="shared" si="40"/>
        <v/>
      </c>
      <c r="IY58" s="80" t="str">
        <f t="shared" si="40"/>
        <v/>
      </c>
      <c r="IZ58" s="80" t="str">
        <f t="shared" si="40"/>
        <v/>
      </c>
      <c r="JA58" s="80" t="str">
        <f t="shared" si="40"/>
        <v/>
      </c>
      <c r="JB58" s="80" t="str">
        <f t="shared" si="40"/>
        <v/>
      </c>
      <c r="JC58" s="80" t="str">
        <f t="shared" ref="JC58:SC58" si="41">IF(SUM(JC56,JB56)=2,JB58, IF(AND(JC53&lt;0,JC54="True",JC55="True"),JB53+1, IF(JC54="",JC53,JB58+JC56)))</f>
        <v/>
      </c>
      <c r="JD58" s="80" t="str">
        <f t="shared" si="41"/>
        <v/>
      </c>
      <c r="JE58" s="80" t="str">
        <f t="shared" si="41"/>
        <v/>
      </c>
      <c r="JF58" s="80" t="str">
        <f t="shared" si="41"/>
        <v/>
      </c>
      <c r="JG58" s="80" t="str">
        <f t="shared" si="41"/>
        <v/>
      </c>
      <c r="JH58" s="80" t="str">
        <f t="shared" si="41"/>
        <v/>
      </c>
      <c r="JI58" s="80" t="str">
        <f t="shared" si="41"/>
        <v/>
      </c>
      <c r="JJ58" s="80" t="str">
        <f t="shared" si="41"/>
        <v/>
      </c>
      <c r="JK58" s="80" t="str">
        <f t="shared" si="41"/>
        <v/>
      </c>
      <c r="JL58" s="80" t="str">
        <f t="shared" si="41"/>
        <v/>
      </c>
      <c r="JM58" s="80" t="str">
        <f t="shared" si="41"/>
        <v/>
      </c>
      <c r="JN58" s="80" t="str">
        <f t="shared" si="41"/>
        <v/>
      </c>
      <c r="JO58" s="80" t="str">
        <f t="shared" si="41"/>
        <v/>
      </c>
      <c r="JP58" s="80" t="str">
        <f t="shared" si="41"/>
        <v/>
      </c>
      <c r="JQ58" s="80" t="str">
        <f t="shared" si="41"/>
        <v/>
      </c>
      <c r="JR58" s="80" t="str">
        <f t="shared" si="41"/>
        <v/>
      </c>
      <c r="JS58" s="80" t="str">
        <f t="shared" si="41"/>
        <v/>
      </c>
      <c r="JT58" s="80" t="str">
        <f t="shared" si="41"/>
        <v/>
      </c>
      <c r="JU58" s="80" t="str">
        <f t="shared" si="41"/>
        <v/>
      </c>
      <c r="JV58" s="80" t="str">
        <f t="shared" si="41"/>
        <v/>
      </c>
      <c r="JW58" s="80" t="str">
        <f t="shared" si="41"/>
        <v/>
      </c>
      <c r="JX58" s="80" t="str">
        <f t="shared" si="41"/>
        <v/>
      </c>
      <c r="JY58" s="80" t="str">
        <f t="shared" si="41"/>
        <v/>
      </c>
      <c r="JZ58" s="80" t="str">
        <f t="shared" si="41"/>
        <v/>
      </c>
      <c r="KA58" s="80" t="str">
        <f t="shared" si="41"/>
        <v/>
      </c>
      <c r="KB58" s="80" t="str">
        <f t="shared" si="41"/>
        <v/>
      </c>
      <c r="KC58" s="80" t="str">
        <f t="shared" si="41"/>
        <v/>
      </c>
      <c r="KD58" s="80" t="str">
        <f t="shared" si="41"/>
        <v/>
      </c>
      <c r="KE58" s="80" t="str">
        <f t="shared" si="41"/>
        <v/>
      </c>
      <c r="KF58" s="80" t="str">
        <f t="shared" si="41"/>
        <v/>
      </c>
      <c r="KG58" s="80" t="str">
        <f t="shared" si="41"/>
        <v/>
      </c>
      <c r="KH58" s="80" t="str">
        <f t="shared" si="41"/>
        <v/>
      </c>
      <c r="KI58" s="80" t="str">
        <f t="shared" si="41"/>
        <v/>
      </c>
      <c r="KJ58" s="80" t="str">
        <f t="shared" si="41"/>
        <v/>
      </c>
      <c r="KK58" s="80" t="str">
        <f t="shared" si="41"/>
        <v/>
      </c>
      <c r="KL58" s="80" t="str">
        <f t="shared" si="41"/>
        <v/>
      </c>
      <c r="KM58" s="80" t="str">
        <f t="shared" si="41"/>
        <v/>
      </c>
      <c r="KN58" s="80" t="str">
        <f t="shared" si="41"/>
        <v/>
      </c>
      <c r="KO58" s="80" t="str">
        <f t="shared" si="41"/>
        <v/>
      </c>
      <c r="KP58" s="80" t="str">
        <f t="shared" si="41"/>
        <v/>
      </c>
      <c r="KQ58" s="80" t="str">
        <f t="shared" si="41"/>
        <v/>
      </c>
      <c r="KR58" s="80" t="str">
        <f t="shared" si="41"/>
        <v/>
      </c>
      <c r="KS58" s="80" t="str">
        <f t="shared" si="41"/>
        <v/>
      </c>
      <c r="KT58" s="80" t="str">
        <f t="shared" si="41"/>
        <v/>
      </c>
      <c r="KU58" s="80" t="str">
        <f t="shared" si="41"/>
        <v/>
      </c>
      <c r="KV58" s="80" t="str">
        <f t="shared" si="41"/>
        <v/>
      </c>
      <c r="KW58" s="80" t="str">
        <f t="shared" si="41"/>
        <v/>
      </c>
      <c r="KX58" s="80" t="str">
        <f t="shared" si="41"/>
        <v/>
      </c>
      <c r="KY58" s="80" t="str">
        <f t="shared" si="41"/>
        <v/>
      </c>
      <c r="KZ58" s="80" t="str">
        <f t="shared" si="41"/>
        <v/>
      </c>
      <c r="LA58" s="80" t="str">
        <f t="shared" si="41"/>
        <v/>
      </c>
      <c r="LB58" s="80" t="str">
        <f t="shared" si="41"/>
        <v/>
      </c>
      <c r="LC58" s="80" t="str">
        <f t="shared" si="41"/>
        <v/>
      </c>
      <c r="LD58" s="80" t="str">
        <f t="shared" si="41"/>
        <v/>
      </c>
      <c r="LE58" s="80" t="str">
        <f t="shared" si="41"/>
        <v/>
      </c>
      <c r="LF58" s="80" t="str">
        <f t="shared" si="41"/>
        <v/>
      </c>
      <c r="LG58" s="80" t="str">
        <f t="shared" si="41"/>
        <v/>
      </c>
      <c r="LH58" s="80" t="str">
        <f t="shared" si="41"/>
        <v/>
      </c>
      <c r="LI58" s="80" t="str">
        <f t="shared" si="41"/>
        <v/>
      </c>
      <c r="LJ58" s="80" t="str">
        <f t="shared" si="41"/>
        <v/>
      </c>
      <c r="LK58" s="80" t="str">
        <f t="shared" si="41"/>
        <v/>
      </c>
      <c r="LL58" s="80" t="str">
        <f t="shared" si="41"/>
        <v/>
      </c>
      <c r="LM58" s="80" t="str">
        <f t="shared" si="41"/>
        <v/>
      </c>
      <c r="LN58" s="80" t="str">
        <f t="shared" si="41"/>
        <v/>
      </c>
      <c r="LO58" s="80" t="str">
        <f t="shared" si="41"/>
        <v/>
      </c>
      <c r="LP58" s="80" t="str">
        <f t="shared" si="41"/>
        <v/>
      </c>
      <c r="LQ58" s="80" t="str">
        <f t="shared" si="41"/>
        <v/>
      </c>
      <c r="LR58" s="80" t="str">
        <f t="shared" si="41"/>
        <v/>
      </c>
      <c r="LS58" s="80" t="str">
        <f t="shared" si="41"/>
        <v/>
      </c>
      <c r="LT58" s="80" t="str">
        <f t="shared" si="41"/>
        <v/>
      </c>
      <c r="LU58" s="80" t="str">
        <f t="shared" si="41"/>
        <v/>
      </c>
      <c r="LV58" s="80" t="str">
        <f t="shared" si="41"/>
        <v/>
      </c>
      <c r="LW58" s="80" t="str">
        <f t="shared" si="41"/>
        <v/>
      </c>
      <c r="LX58" s="80" t="str">
        <f t="shared" si="41"/>
        <v/>
      </c>
      <c r="LY58" s="80" t="str">
        <f t="shared" si="41"/>
        <v/>
      </c>
      <c r="LZ58" s="80" t="str">
        <f t="shared" si="41"/>
        <v/>
      </c>
      <c r="MA58" s="80" t="str">
        <f t="shared" si="41"/>
        <v/>
      </c>
      <c r="MB58" s="80" t="str">
        <f t="shared" si="41"/>
        <v/>
      </c>
      <c r="MC58" s="80" t="str">
        <f t="shared" si="41"/>
        <v/>
      </c>
      <c r="MD58" s="80" t="str">
        <f t="shared" si="41"/>
        <v/>
      </c>
      <c r="ME58" s="80" t="str">
        <f t="shared" si="41"/>
        <v/>
      </c>
      <c r="MF58" s="80" t="str">
        <f t="shared" si="41"/>
        <v/>
      </c>
      <c r="MG58" s="80" t="str">
        <f t="shared" si="41"/>
        <v/>
      </c>
      <c r="MH58" s="80" t="str">
        <f t="shared" si="41"/>
        <v/>
      </c>
      <c r="MI58" s="80" t="str">
        <f t="shared" si="41"/>
        <v/>
      </c>
      <c r="MJ58" s="80" t="str">
        <f t="shared" si="41"/>
        <v/>
      </c>
      <c r="MK58" s="80" t="str">
        <f t="shared" si="41"/>
        <v/>
      </c>
      <c r="ML58" s="80" t="str">
        <f t="shared" si="41"/>
        <v/>
      </c>
      <c r="MM58" s="80" t="str">
        <f t="shared" si="41"/>
        <v/>
      </c>
      <c r="MN58" s="80" t="str">
        <f t="shared" si="41"/>
        <v/>
      </c>
      <c r="MO58" s="80" t="str">
        <f t="shared" si="41"/>
        <v/>
      </c>
      <c r="MP58" s="80" t="str">
        <f t="shared" si="41"/>
        <v/>
      </c>
      <c r="MQ58" s="80" t="str">
        <f t="shared" si="41"/>
        <v/>
      </c>
      <c r="MR58" s="80" t="str">
        <f t="shared" si="41"/>
        <v/>
      </c>
      <c r="MS58" s="80" t="str">
        <f t="shared" si="41"/>
        <v/>
      </c>
      <c r="MT58" s="80" t="str">
        <f t="shared" si="41"/>
        <v/>
      </c>
      <c r="MU58" s="80" t="str">
        <f t="shared" si="41"/>
        <v/>
      </c>
      <c r="MV58" s="80" t="str">
        <f t="shared" si="41"/>
        <v/>
      </c>
      <c r="MW58" s="80" t="str">
        <f t="shared" si="41"/>
        <v/>
      </c>
      <c r="MX58" s="80" t="str">
        <f t="shared" si="41"/>
        <v/>
      </c>
      <c r="MY58" s="80" t="str">
        <f t="shared" si="41"/>
        <v/>
      </c>
      <c r="MZ58" s="80" t="str">
        <f t="shared" si="41"/>
        <v/>
      </c>
      <c r="NA58" s="80" t="str">
        <f t="shared" si="41"/>
        <v/>
      </c>
      <c r="NB58" s="80" t="str">
        <f t="shared" si="41"/>
        <v/>
      </c>
      <c r="NC58" s="80" t="str">
        <f t="shared" si="41"/>
        <v/>
      </c>
      <c r="ND58" s="80" t="str">
        <f t="shared" si="41"/>
        <v/>
      </c>
      <c r="NE58" s="80" t="str">
        <f t="shared" si="41"/>
        <v/>
      </c>
      <c r="NF58" s="80" t="str">
        <f t="shared" si="41"/>
        <v/>
      </c>
      <c r="NG58" s="80" t="str">
        <f t="shared" si="41"/>
        <v/>
      </c>
      <c r="NH58" s="80" t="str">
        <f t="shared" si="41"/>
        <v/>
      </c>
      <c r="NI58" s="80" t="str">
        <f t="shared" si="41"/>
        <v/>
      </c>
      <c r="NJ58" s="80" t="str">
        <f t="shared" si="41"/>
        <v/>
      </c>
      <c r="NK58" s="80" t="str">
        <f t="shared" si="41"/>
        <v/>
      </c>
      <c r="NL58" s="80" t="str">
        <f t="shared" si="41"/>
        <v/>
      </c>
      <c r="NM58" s="80" t="str">
        <f t="shared" si="41"/>
        <v/>
      </c>
      <c r="NN58" s="80" t="str">
        <f t="shared" si="41"/>
        <v/>
      </c>
      <c r="NO58" s="80" t="str">
        <f t="shared" si="41"/>
        <v/>
      </c>
      <c r="NP58" s="80" t="str">
        <f t="shared" si="41"/>
        <v/>
      </c>
      <c r="NQ58" s="80" t="str">
        <f t="shared" si="41"/>
        <v/>
      </c>
      <c r="NR58" s="80" t="str">
        <f t="shared" si="41"/>
        <v/>
      </c>
      <c r="NS58" s="80" t="str">
        <f t="shared" si="41"/>
        <v/>
      </c>
      <c r="NT58" s="80" t="str">
        <f t="shared" si="41"/>
        <v/>
      </c>
      <c r="NU58" s="80" t="str">
        <f t="shared" si="41"/>
        <v/>
      </c>
      <c r="NV58" s="80" t="str">
        <f t="shared" si="41"/>
        <v/>
      </c>
      <c r="NW58" s="80" t="str">
        <f t="shared" si="41"/>
        <v/>
      </c>
      <c r="NX58" s="80" t="str">
        <f t="shared" si="41"/>
        <v/>
      </c>
      <c r="NY58" s="80" t="str">
        <f t="shared" si="41"/>
        <v/>
      </c>
      <c r="NZ58" s="80" t="str">
        <f t="shared" si="41"/>
        <v/>
      </c>
      <c r="OA58" s="80" t="str">
        <f t="shared" si="41"/>
        <v/>
      </c>
      <c r="OB58" s="80" t="str">
        <f t="shared" si="41"/>
        <v/>
      </c>
      <c r="OC58" s="80" t="str">
        <f t="shared" si="41"/>
        <v/>
      </c>
      <c r="OD58" s="80" t="str">
        <f t="shared" si="41"/>
        <v/>
      </c>
      <c r="OE58" s="80" t="str">
        <f t="shared" si="41"/>
        <v/>
      </c>
      <c r="OF58" s="80" t="str">
        <f t="shared" si="41"/>
        <v/>
      </c>
      <c r="OG58" s="80" t="str">
        <f t="shared" si="41"/>
        <v/>
      </c>
      <c r="OH58" s="80" t="str">
        <f t="shared" si="41"/>
        <v/>
      </c>
      <c r="OI58" s="80" t="str">
        <f t="shared" si="41"/>
        <v/>
      </c>
      <c r="OJ58" s="80" t="str">
        <f t="shared" si="41"/>
        <v/>
      </c>
      <c r="OK58" s="80" t="str">
        <f t="shared" si="41"/>
        <v/>
      </c>
      <c r="OL58" s="80" t="str">
        <f t="shared" si="41"/>
        <v/>
      </c>
      <c r="OM58" s="80" t="str">
        <f t="shared" si="41"/>
        <v/>
      </c>
      <c r="ON58" s="80" t="str">
        <f t="shared" si="41"/>
        <v/>
      </c>
      <c r="OO58" s="80" t="str">
        <f t="shared" si="41"/>
        <v/>
      </c>
      <c r="OP58" s="80" t="str">
        <f t="shared" si="41"/>
        <v/>
      </c>
      <c r="OQ58" s="80" t="str">
        <f t="shared" si="41"/>
        <v/>
      </c>
      <c r="OR58" s="80" t="str">
        <f t="shared" si="41"/>
        <v/>
      </c>
      <c r="OS58" s="80" t="str">
        <f t="shared" si="41"/>
        <v/>
      </c>
      <c r="OT58" s="80" t="str">
        <f t="shared" si="41"/>
        <v/>
      </c>
      <c r="OU58" s="80" t="str">
        <f t="shared" si="41"/>
        <v/>
      </c>
      <c r="OV58" s="80" t="str">
        <f t="shared" si="41"/>
        <v/>
      </c>
      <c r="OW58" s="80" t="str">
        <f t="shared" si="41"/>
        <v/>
      </c>
      <c r="OX58" s="80" t="str">
        <f t="shared" si="41"/>
        <v/>
      </c>
      <c r="OY58" s="80" t="str">
        <f t="shared" si="41"/>
        <v/>
      </c>
      <c r="OZ58" s="80" t="str">
        <f t="shared" si="41"/>
        <v/>
      </c>
      <c r="PA58" s="80" t="str">
        <f t="shared" si="41"/>
        <v/>
      </c>
      <c r="PB58" s="80" t="str">
        <f t="shared" si="41"/>
        <v/>
      </c>
      <c r="PC58" s="80" t="str">
        <f t="shared" si="41"/>
        <v/>
      </c>
      <c r="PD58" s="80" t="str">
        <f t="shared" si="41"/>
        <v/>
      </c>
      <c r="PE58" s="80" t="str">
        <f t="shared" si="41"/>
        <v/>
      </c>
      <c r="PF58" s="80" t="str">
        <f t="shared" si="41"/>
        <v/>
      </c>
      <c r="PG58" s="80" t="str">
        <f t="shared" si="41"/>
        <v/>
      </c>
      <c r="PH58" s="80" t="str">
        <f t="shared" si="41"/>
        <v/>
      </c>
      <c r="PI58" s="80" t="str">
        <f t="shared" si="41"/>
        <v/>
      </c>
      <c r="PJ58" s="80" t="str">
        <f t="shared" si="41"/>
        <v/>
      </c>
      <c r="PK58" s="80" t="str">
        <f t="shared" si="41"/>
        <v/>
      </c>
      <c r="PL58" s="80" t="str">
        <f t="shared" si="41"/>
        <v/>
      </c>
      <c r="PM58" s="80" t="str">
        <f t="shared" si="41"/>
        <v/>
      </c>
      <c r="PN58" s="80" t="str">
        <f t="shared" si="41"/>
        <v/>
      </c>
      <c r="PO58" s="80" t="str">
        <f t="shared" si="41"/>
        <v/>
      </c>
      <c r="PP58" s="80" t="str">
        <f t="shared" si="41"/>
        <v/>
      </c>
      <c r="PQ58" s="80" t="str">
        <f t="shared" si="41"/>
        <v/>
      </c>
      <c r="PR58" s="80" t="str">
        <f t="shared" si="41"/>
        <v/>
      </c>
      <c r="PS58" s="80" t="str">
        <f t="shared" si="41"/>
        <v/>
      </c>
      <c r="PT58" s="80" t="str">
        <f t="shared" si="41"/>
        <v/>
      </c>
      <c r="PU58" s="80" t="str">
        <f t="shared" si="41"/>
        <v/>
      </c>
      <c r="PV58" s="80" t="str">
        <f t="shared" si="41"/>
        <v/>
      </c>
      <c r="PW58" s="80" t="str">
        <f t="shared" si="41"/>
        <v/>
      </c>
      <c r="PX58" s="80" t="str">
        <f t="shared" si="41"/>
        <v/>
      </c>
      <c r="PY58" s="80" t="str">
        <f t="shared" si="41"/>
        <v/>
      </c>
      <c r="PZ58" s="80" t="str">
        <f t="shared" si="41"/>
        <v/>
      </c>
      <c r="QA58" s="80" t="str">
        <f t="shared" si="41"/>
        <v/>
      </c>
      <c r="QB58" s="80" t="str">
        <f t="shared" si="41"/>
        <v/>
      </c>
      <c r="QC58" s="80" t="str">
        <f t="shared" si="41"/>
        <v/>
      </c>
      <c r="QD58" s="80" t="str">
        <f t="shared" si="41"/>
        <v/>
      </c>
      <c r="QE58" s="80" t="str">
        <f t="shared" si="41"/>
        <v/>
      </c>
      <c r="QF58" s="80" t="str">
        <f t="shared" si="41"/>
        <v/>
      </c>
      <c r="QG58" s="80" t="str">
        <f t="shared" si="41"/>
        <v/>
      </c>
      <c r="QH58" s="80" t="str">
        <f t="shared" si="41"/>
        <v/>
      </c>
      <c r="QI58" s="80" t="str">
        <f t="shared" si="41"/>
        <v/>
      </c>
      <c r="QJ58" s="80" t="str">
        <f t="shared" si="41"/>
        <v/>
      </c>
      <c r="QK58" s="80" t="str">
        <f t="shared" si="41"/>
        <v/>
      </c>
      <c r="QL58" s="80" t="str">
        <f t="shared" si="41"/>
        <v/>
      </c>
      <c r="QM58" s="80" t="str">
        <f t="shared" si="41"/>
        <v/>
      </c>
      <c r="QN58" s="80" t="str">
        <f t="shared" si="41"/>
        <v/>
      </c>
      <c r="QO58" s="80" t="str">
        <f t="shared" si="41"/>
        <v/>
      </c>
      <c r="QP58" s="80" t="str">
        <f t="shared" si="41"/>
        <v/>
      </c>
      <c r="QQ58" s="80" t="str">
        <f t="shared" si="41"/>
        <v/>
      </c>
      <c r="QR58" s="80" t="str">
        <f t="shared" si="41"/>
        <v/>
      </c>
      <c r="QS58" s="80" t="str">
        <f t="shared" si="41"/>
        <v/>
      </c>
      <c r="QT58" s="80" t="str">
        <f t="shared" si="41"/>
        <v/>
      </c>
      <c r="QU58" s="80" t="str">
        <f t="shared" si="41"/>
        <v/>
      </c>
      <c r="QV58" s="80" t="str">
        <f t="shared" si="41"/>
        <v/>
      </c>
      <c r="QW58" s="80" t="str">
        <f t="shared" si="41"/>
        <v/>
      </c>
      <c r="QX58" s="80" t="str">
        <f t="shared" si="41"/>
        <v/>
      </c>
      <c r="QY58" s="80" t="str">
        <f t="shared" si="41"/>
        <v/>
      </c>
      <c r="QZ58" s="80" t="str">
        <f t="shared" si="41"/>
        <v/>
      </c>
      <c r="RA58" s="80" t="str">
        <f t="shared" si="41"/>
        <v/>
      </c>
      <c r="RB58" s="80" t="str">
        <f t="shared" si="41"/>
        <v/>
      </c>
      <c r="RC58" s="80" t="str">
        <f t="shared" si="41"/>
        <v/>
      </c>
      <c r="RD58" s="80" t="str">
        <f t="shared" si="41"/>
        <v/>
      </c>
      <c r="RE58" s="80" t="str">
        <f t="shared" si="41"/>
        <v/>
      </c>
      <c r="RF58" s="80" t="str">
        <f t="shared" si="41"/>
        <v/>
      </c>
      <c r="RG58" s="80" t="str">
        <f t="shared" si="41"/>
        <v/>
      </c>
      <c r="RH58" s="80" t="str">
        <f t="shared" si="41"/>
        <v/>
      </c>
      <c r="RI58" s="80" t="str">
        <f t="shared" si="41"/>
        <v/>
      </c>
      <c r="RJ58" s="80" t="str">
        <f t="shared" si="41"/>
        <v/>
      </c>
      <c r="RK58" s="80" t="str">
        <f t="shared" si="41"/>
        <v/>
      </c>
      <c r="RL58" s="80" t="str">
        <f t="shared" si="41"/>
        <v/>
      </c>
      <c r="RM58" s="80" t="str">
        <f t="shared" si="41"/>
        <v/>
      </c>
      <c r="RN58" s="80" t="str">
        <f t="shared" si="41"/>
        <v/>
      </c>
      <c r="RO58" s="80" t="str">
        <f t="shared" si="41"/>
        <v/>
      </c>
      <c r="RP58" s="80" t="str">
        <f t="shared" si="41"/>
        <v/>
      </c>
      <c r="RQ58" s="80" t="str">
        <f t="shared" si="41"/>
        <v/>
      </c>
      <c r="RR58" s="80" t="str">
        <f t="shared" si="41"/>
        <v/>
      </c>
      <c r="RS58" s="80" t="str">
        <f t="shared" si="41"/>
        <v/>
      </c>
      <c r="RT58" s="80" t="str">
        <f t="shared" si="41"/>
        <v/>
      </c>
      <c r="RU58" s="80" t="str">
        <f t="shared" si="41"/>
        <v/>
      </c>
      <c r="RV58" s="80" t="str">
        <f t="shared" si="41"/>
        <v/>
      </c>
      <c r="RW58" s="80" t="str">
        <f t="shared" si="41"/>
        <v/>
      </c>
      <c r="RX58" s="80" t="str">
        <f t="shared" si="41"/>
        <v/>
      </c>
      <c r="RY58" s="80" t="str">
        <f t="shared" si="41"/>
        <v/>
      </c>
      <c r="RZ58" s="80" t="str">
        <f t="shared" si="41"/>
        <v/>
      </c>
      <c r="SA58" s="80" t="str">
        <f t="shared" si="41"/>
        <v/>
      </c>
      <c r="SB58" s="80" t="str">
        <f t="shared" si="41"/>
        <v/>
      </c>
      <c r="SC58" s="80" t="str">
        <f t="shared" si="41"/>
        <v/>
      </c>
    </row>
    <row r="59" spans="1:497" ht="15.75" customHeight="1" thickTop="1" x14ac:dyDescent="0.15"/>
    <row r="60" spans="1:497" ht="15.75" customHeight="1" x14ac:dyDescent="0.15"/>
    <row r="61" spans="1:497" ht="15.75" customHeight="1" x14ac:dyDescent="0.15"/>
    <row r="62" spans="1:497" ht="15.75" customHeight="1" x14ac:dyDescent="0.15"/>
    <row r="63" spans="1:497" ht="15.75" customHeight="1" x14ac:dyDescent="0.15"/>
    <row r="64" spans="1:497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</sheetData>
  <sheetProtection insertColumns="0" insertRows="0" deleteColumns="0" deleteRows="0"/>
  <protectedRanges>
    <protectedRange sqref="A1:G48" name="Gantt"/>
  </protectedRanges>
  <mergeCells count="1493"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  <mergeCell ref="ED1:ED2"/>
    <mergeCell ref="EE1:EE2"/>
    <mergeCell ref="EF1:EF2"/>
    <mergeCell ref="EG1:EG2"/>
    <mergeCell ref="EH1:EH2"/>
    <mergeCell ref="EI1:EI2"/>
    <mergeCell ref="EJ1:EJ2"/>
    <mergeCell ref="EK1:EK2"/>
    <mergeCell ref="EL1:EL2"/>
    <mergeCell ref="EM1:EM2"/>
    <mergeCell ref="EN1:EN2"/>
    <mergeCell ref="EO1:EO2"/>
    <mergeCell ref="EP1:EP2"/>
    <mergeCell ref="EQ1:EQ2"/>
    <mergeCell ref="ER1:ER2"/>
    <mergeCell ref="ES1:ES2"/>
    <mergeCell ref="ET1:ET2"/>
    <mergeCell ref="EU1:EU2"/>
    <mergeCell ref="EV1:EV2"/>
    <mergeCell ref="EW1:EW2"/>
    <mergeCell ref="EX1:EX2"/>
    <mergeCell ref="T3:T7"/>
    <mergeCell ref="U3:U7"/>
    <mergeCell ref="V3:V7"/>
    <mergeCell ref="W3:W7"/>
    <mergeCell ref="X3:X7"/>
    <mergeCell ref="Y3:Y7"/>
    <mergeCell ref="Z3:Z7"/>
    <mergeCell ref="AA3:AA7"/>
    <mergeCell ref="AB3:AB7"/>
    <mergeCell ref="BE3:BE7"/>
    <mergeCell ref="BF3:BF7"/>
    <mergeCell ref="BG3:BG7"/>
    <mergeCell ref="BH3:BH7"/>
    <mergeCell ref="BI3:BI7"/>
    <mergeCell ref="BJ3:BJ7"/>
    <mergeCell ref="BK3:BK7"/>
    <mergeCell ref="BL3:BL7"/>
    <mergeCell ref="BM3:BM7"/>
    <mergeCell ref="BN3:BN7"/>
    <mergeCell ref="BO3:BO7"/>
    <mergeCell ref="BP3:BP7"/>
    <mergeCell ref="BQ3:BQ7"/>
    <mergeCell ref="BR3:BR7"/>
    <mergeCell ref="BS3:BS7"/>
    <mergeCell ref="BT3:BT7"/>
    <mergeCell ref="BU3:BU7"/>
    <mergeCell ref="BV3:BV7"/>
    <mergeCell ref="BW3:BW7"/>
    <mergeCell ref="BX3:BX7"/>
    <mergeCell ref="BY3:BY7"/>
    <mergeCell ref="BZ3:BZ7"/>
    <mergeCell ref="CA3:CA7"/>
    <mergeCell ref="CB3:CB7"/>
    <mergeCell ref="CC3:CC7"/>
    <mergeCell ref="CD3:CD7"/>
    <mergeCell ref="CE3:CE7"/>
    <mergeCell ref="CF3:CF7"/>
    <mergeCell ref="CG3:CG7"/>
    <mergeCell ref="CH3:CH7"/>
    <mergeCell ref="CI3:CI7"/>
    <mergeCell ref="CJ3:CJ7"/>
    <mergeCell ref="CK3:CK7"/>
    <mergeCell ref="CL3:CL7"/>
    <mergeCell ref="CM3:CM7"/>
    <mergeCell ref="CN3:CN7"/>
    <mergeCell ref="CO3:CO7"/>
    <mergeCell ref="CP3:CP7"/>
    <mergeCell ref="CQ3:CQ7"/>
    <mergeCell ref="CR3:CR7"/>
    <mergeCell ref="FF1:FF2"/>
    <mergeCell ref="FG1:FG2"/>
    <mergeCell ref="FH1:FH2"/>
    <mergeCell ref="FI1:FI2"/>
    <mergeCell ref="EP3:EP7"/>
    <mergeCell ref="EQ3:EQ7"/>
    <mergeCell ref="ER3:ER7"/>
    <mergeCell ref="ES3:ES7"/>
    <mergeCell ref="ET3:ET7"/>
    <mergeCell ref="EU3:EU7"/>
    <mergeCell ref="EV3:EV7"/>
    <mergeCell ref="CS3:CS7"/>
    <mergeCell ref="CT3:CT7"/>
    <mergeCell ref="CU3:CU7"/>
    <mergeCell ref="CV3:CV7"/>
    <mergeCell ref="CW3:CW7"/>
    <mergeCell ref="CX3:CX7"/>
    <mergeCell ref="CY3:CY7"/>
    <mergeCell ref="CZ3:CZ7"/>
    <mergeCell ref="GP1:GP2"/>
    <mergeCell ref="GQ1:GQ2"/>
    <mergeCell ref="FJ1:FJ2"/>
    <mergeCell ref="FK1:FK2"/>
    <mergeCell ref="FL1:FL2"/>
    <mergeCell ref="FM1:FM2"/>
    <mergeCell ref="FN1:FN2"/>
    <mergeCell ref="FO1:FO2"/>
    <mergeCell ref="FP1:FP2"/>
    <mergeCell ref="FQ1:FQ2"/>
    <mergeCell ref="FR1:FR2"/>
    <mergeCell ref="FS1:FS2"/>
    <mergeCell ref="FT1:FT2"/>
    <mergeCell ref="FU1:FU2"/>
    <mergeCell ref="FV1:FV2"/>
    <mergeCell ref="FW1:FW2"/>
    <mergeCell ref="FX1:FX2"/>
    <mergeCell ref="FY1:FY2"/>
    <mergeCell ref="FZ1:FZ2"/>
    <mergeCell ref="GR1:GR2"/>
    <mergeCell ref="GS1:GS2"/>
    <mergeCell ref="GT1:GT2"/>
    <mergeCell ref="GU1:GU2"/>
    <mergeCell ref="EY1:EY2"/>
    <mergeCell ref="EZ1:EZ2"/>
    <mergeCell ref="FA1:FA2"/>
    <mergeCell ref="FB1:FB2"/>
    <mergeCell ref="FC1:FC2"/>
    <mergeCell ref="FD1:FD2"/>
    <mergeCell ref="FE1:FE2"/>
    <mergeCell ref="GV1:GV2"/>
    <mergeCell ref="GW1:GW2"/>
    <mergeCell ref="GX1:GX2"/>
    <mergeCell ref="GY1:GY2"/>
    <mergeCell ref="GZ1:GZ2"/>
    <mergeCell ref="HA1:HA2"/>
    <mergeCell ref="GA1:GA2"/>
    <mergeCell ref="GB1:GB2"/>
    <mergeCell ref="GC1:GC2"/>
    <mergeCell ref="GD1:GD2"/>
    <mergeCell ref="GE1:GE2"/>
    <mergeCell ref="GF1:GF2"/>
    <mergeCell ref="GG1:GG2"/>
    <mergeCell ref="GH1:GH2"/>
    <mergeCell ref="GI1:GI2"/>
    <mergeCell ref="GJ1:GJ2"/>
    <mergeCell ref="GK1:GK2"/>
    <mergeCell ref="GL1:GL2"/>
    <mergeCell ref="GM1:GM2"/>
    <mergeCell ref="GN1:GN2"/>
    <mergeCell ref="GO1:GO2"/>
    <mergeCell ref="IO1:IO2"/>
    <mergeCell ref="IP1:IP2"/>
    <mergeCell ref="HB1:HB2"/>
    <mergeCell ref="HJ1:HJ2"/>
    <mergeCell ref="HK1:HK2"/>
    <mergeCell ref="HL1:HL2"/>
    <mergeCell ref="HM1:HM2"/>
    <mergeCell ref="HN1:HN2"/>
    <mergeCell ref="HO1:HO2"/>
    <mergeCell ref="HP1:HP2"/>
    <mergeCell ref="HQ1:HQ2"/>
    <mergeCell ref="HR1:HR2"/>
    <mergeCell ref="HS1:HS2"/>
    <mergeCell ref="HT1:HT2"/>
    <mergeCell ref="HU1:HU2"/>
    <mergeCell ref="HV1:HV2"/>
    <mergeCell ref="HW1:HW2"/>
    <mergeCell ref="HX1:HX2"/>
    <mergeCell ref="HY1:HY2"/>
    <mergeCell ref="IQ1:IQ2"/>
    <mergeCell ref="IR1:IR2"/>
    <mergeCell ref="HC1:HC2"/>
    <mergeCell ref="HD1:HD2"/>
    <mergeCell ref="HE1:HE2"/>
    <mergeCell ref="HF1:HF2"/>
    <mergeCell ref="HG1:HG2"/>
    <mergeCell ref="HH1:HH2"/>
    <mergeCell ref="HI1:HI2"/>
    <mergeCell ref="IS1:IS2"/>
    <mergeCell ref="IT1:IT2"/>
    <mergeCell ref="IU1:IU2"/>
    <mergeCell ref="IV1:IV2"/>
    <mergeCell ref="IW1:IW2"/>
    <mergeCell ref="IX1:IX2"/>
    <mergeCell ref="IY1:IY2"/>
    <mergeCell ref="IZ1:IZ2"/>
    <mergeCell ref="HZ1:HZ2"/>
    <mergeCell ref="IA1:IA2"/>
    <mergeCell ref="IB1:IB2"/>
    <mergeCell ref="IC1:IC2"/>
    <mergeCell ref="ID1:ID2"/>
    <mergeCell ref="IE1:IE2"/>
    <mergeCell ref="IF1:IF2"/>
    <mergeCell ref="IG1:IG2"/>
    <mergeCell ref="IH1:IH2"/>
    <mergeCell ref="II1:II2"/>
    <mergeCell ref="IJ1:IJ2"/>
    <mergeCell ref="IK1:IK2"/>
    <mergeCell ref="IL1:IL2"/>
    <mergeCell ref="IM1:IM2"/>
    <mergeCell ref="IN1:IN2"/>
    <mergeCell ref="JA1:JA2"/>
    <mergeCell ref="JB1:JB2"/>
    <mergeCell ref="JC1:JC2"/>
    <mergeCell ref="JD1:JD2"/>
    <mergeCell ref="JE1:JE2"/>
    <mergeCell ref="JF1:JF2"/>
    <mergeCell ref="JN1:JN2"/>
    <mergeCell ref="JO1:JO2"/>
    <mergeCell ref="JP1:JP2"/>
    <mergeCell ref="JQ1:JQ2"/>
    <mergeCell ref="JR1:JR2"/>
    <mergeCell ref="JS1:JS2"/>
    <mergeCell ref="JT1:JT2"/>
    <mergeCell ref="JU1:JU2"/>
    <mergeCell ref="JV1:JV2"/>
    <mergeCell ref="JW1:JW2"/>
    <mergeCell ref="JX1:JX2"/>
    <mergeCell ref="JG1:JG2"/>
    <mergeCell ref="JH1:JH2"/>
    <mergeCell ref="JI1:JI2"/>
    <mergeCell ref="JJ1:JJ2"/>
    <mergeCell ref="JK1:JK2"/>
    <mergeCell ref="JL1:JL2"/>
    <mergeCell ref="JM1:JM2"/>
    <mergeCell ref="JY1:JY2"/>
    <mergeCell ref="JZ1:JZ2"/>
    <mergeCell ref="KA1:KA2"/>
    <mergeCell ref="KB1:KB2"/>
    <mergeCell ref="KC1:KC2"/>
    <mergeCell ref="KD1:KD2"/>
    <mergeCell ref="KE1:KE2"/>
    <mergeCell ref="KF1:KF2"/>
    <mergeCell ref="KG1:KG2"/>
    <mergeCell ref="KH1:KH2"/>
    <mergeCell ref="KI1:KI2"/>
    <mergeCell ref="KJ1:KJ2"/>
    <mergeCell ref="KK1:KK2"/>
    <mergeCell ref="KL1:KL2"/>
    <mergeCell ref="KM1:KM2"/>
    <mergeCell ref="KN1:KN2"/>
    <mergeCell ref="KO1:KO2"/>
    <mergeCell ref="KP1:KP2"/>
    <mergeCell ref="KQ1:KQ2"/>
    <mergeCell ref="KR1:KR2"/>
    <mergeCell ref="KS1:KS2"/>
    <mergeCell ref="KT1:KT2"/>
    <mergeCell ref="KU1:KU2"/>
    <mergeCell ref="KV1:KV2"/>
    <mergeCell ref="KW1:KW2"/>
    <mergeCell ref="KX1:KX2"/>
    <mergeCell ref="KY1:KY2"/>
    <mergeCell ref="KZ1:KZ2"/>
    <mergeCell ref="LA1:LA2"/>
    <mergeCell ref="LB1:LB2"/>
    <mergeCell ref="LC1:LC2"/>
    <mergeCell ref="LD1:LD2"/>
    <mergeCell ref="LE1:LE2"/>
    <mergeCell ref="LF1:LF2"/>
    <mergeCell ref="LG1:LG2"/>
    <mergeCell ref="LH1:LH2"/>
    <mergeCell ref="LI1:LI2"/>
    <mergeCell ref="LJ1:LJ2"/>
    <mergeCell ref="LR1:LR2"/>
    <mergeCell ref="LS1:LS2"/>
    <mergeCell ref="LT1:LT2"/>
    <mergeCell ref="LU1:LU2"/>
    <mergeCell ref="LV1:LV2"/>
    <mergeCell ref="LW1:LW2"/>
    <mergeCell ref="LX1:LX2"/>
    <mergeCell ref="LY1:LY2"/>
    <mergeCell ref="LZ1:LZ2"/>
    <mergeCell ref="MA1:MA2"/>
    <mergeCell ref="MB1:MB2"/>
    <mergeCell ref="MC1:MC2"/>
    <mergeCell ref="MD1:MD2"/>
    <mergeCell ref="ME1:ME2"/>
    <mergeCell ref="MF1:MF2"/>
    <mergeCell ref="MG1:MG2"/>
    <mergeCell ref="MH1:MH2"/>
    <mergeCell ref="MI1:MI2"/>
    <mergeCell ref="MJ1:MJ2"/>
    <mergeCell ref="MK1:MK2"/>
    <mergeCell ref="ML1:ML2"/>
    <mergeCell ref="LK1:LK2"/>
    <mergeCell ref="LL1:LL2"/>
    <mergeCell ref="LM1:LM2"/>
    <mergeCell ref="LN1:LN2"/>
    <mergeCell ref="LO1:LO2"/>
    <mergeCell ref="LP1:LP2"/>
    <mergeCell ref="LQ1:LQ2"/>
    <mergeCell ref="FN9:FN10"/>
    <mergeCell ref="FO9:FO10"/>
    <mergeCell ref="FP9:FP10"/>
    <mergeCell ref="FQ9:FQ10"/>
    <mergeCell ref="FR9:FR10"/>
    <mergeCell ref="FS9:FS10"/>
    <mergeCell ref="FT9:FT10"/>
    <mergeCell ref="FU9:FU10"/>
    <mergeCell ref="FV9:FV10"/>
    <mergeCell ref="FW9:FW10"/>
    <mergeCell ref="FX9:FX10"/>
    <mergeCell ref="FY9:FY10"/>
    <mergeCell ref="FZ9:FZ10"/>
    <mergeCell ref="GA9:GA10"/>
    <mergeCell ref="GB9:GB10"/>
    <mergeCell ref="GC9:GC10"/>
    <mergeCell ref="GD9:GD10"/>
    <mergeCell ref="GE9:GE10"/>
    <mergeCell ref="GF9:GF10"/>
    <mergeCell ref="GG9:GG10"/>
    <mergeCell ref="GH9:GH10"/>
    <mergeCell ref="GI9:GI10"/>
    <mergeCell ref="GJ9:GJ10"/>
    <mergeCell ref="GK9:GK10"/>
    <mergeCell ref="GL9:GL10"/>
    <mergeCell ref="GM9:GM10"/>
    <mergeCell ref="GN9:GN10"/>
    <mergeCell ref="GO9:GO10"/>
    <mergeCell ref="GP9:GP10"/>
    <mergeCell ref="GQ9:GQ10"/>
    <mergeCell ref="GR9:GR10"/>
    <mergeCell ref="GS9:GS10"/>
    <mergeCell ref="GT9:GT10"/>
    <mergeCell ref="GU9:GU10"/>
    <mergeCell ref="GV9:GV10"/>
    <mergeCell ref="GW9:GW10"/>
    <mergeCell ref="GX9:GX10"/>
    <mergeCell ref="GY9:GY10"/>
    <mergeCell ref="GZ9:GZ10"/>
    <mergeCell ref="HA9:HA10"/>
    <mergeCell ref="HB9:HB10"/>
    <mergeCell ref="HC9:HC10"/>
    <mergeCell ref="HD9:HD10"/>
    <mergeCell ref="HE9:HE10"/>
    <mergeCell ref="HF9:HF10"/>
    <mergeCell ref="HG9:HG10"/>
    <mergeCell ref="HH9:HH10"/>
    <mergeCell ref="HI9:HI10"/>
    <mergeCell ref="HJ9:HJ10"/>
    <mergeCell ref="HK9:HK10"/>
    <mergeCell ref="HL9:HL10"/>
    <mergeCell ref="HM9:HM10"/>
    <mergeCell ref="HN9:HN10"/>
    <mergeCell ref="HO9:HO10"/>
    <mergeCell ref="HP9:HP10"/>
    <mergeCell ref="HQ9:HQ10"/>
    <mergeCell ref="HR9:HR10"/>
    <mergeCell ref="HS9:HS10"/>
    <mergeCell ref="HT9:HT10"/>
    <mergeCell ref="HU9:HU10"/>
    <mergeCell ref="HV9:HV10"/>
    <mergeCell ref="HW9:HW10"/>
    <mergeCell ref="HX9:HX10"/>
    <mergeCell ref="HY9:HY10"/>
    <mergeCell ref="HZ9:HZ10"/>
    <mergeCell ref="IA9:IA10"/>
    <mergeCell ref="IB9:IB10"/>
    <mergeCell ref="IC9:IC10"/>
    <mergeCell ref="LE9:LE10"/>
    <mergeCell ref="LF9:LF10"/>
    <mergeCell ref="LG9:LG10"/>
    <mergeCell ref="LH9:LH10"/>
    <mergeCell ref="KA9:KA10"/>
    <mergeCell ref="KB9:KB10"/>
    <mergeCell ref="KC9:KC10"/>
    <mergeCell ref="KD9:KD10"/>
    <mergeCell ref="KE9:KE10"/>
    <mergeCell ref="KF9:KF10"/>
    <mergeCell ref="KG9:KG10"/>
    <mergeCell ref="KH9:KH10"/>
    <mergeCell ref="KI9:KI10"/>
    <mergeCell ref="KJ9:KJ10"/>
    <mergeCell ref="KK9:KK10"/>
    <mergeCell ref="KL9:KL10"/>
    <mergeCell ref="KM9:KM10"/>
    <mergeCell ref="KN9:KN10"/>
    <mergeCell ref="KO9:KO10"/>
    <mergeCell ref="KY9:KY10"/>
    <mergeCell ref="KZ9:KZ10"/>
    <mergeCell ref="LA9:LA10"/>
    <mergeCell ref="LB9:LB10"/>
    <mergeCell ref="LC9:LC10"/>
    <mergeCell ref="LD9:LD10"/>
    <mergeCell ref="KP9:KP10"/>
    <mergeCell ref="KQ9:KQ10"/>
    <mergeCell ref="KR9:KR10"/>
    <mergeCell ref="KS9:KS10"/>
    <mergeCell ref="KT9:KT10"/>
    <mergeCell ref="KU9:KU10"/>
    <mergeCell ref="KV9:KV10"/>
    <mergeCell ref="LI9:LI10"/>
    <mergeCell ref="LJ9:LJ10"/>
    <mergeCell ref="LK9:LK10"/>
    <mergeCell ref="LL9:LL10"/>
    <mergeCell ref="LM9:LM10"/>
    <mergeCell ref="LN9:LN10"/>
    <mergeCell ref="LO9:LO10"/>
    <mergeCell ref="LP9:LP10"/>
    <mergeCell ref="LQ9:LQ10"/>
    <mergeCell ref="LR9:LR10"/>
    <mergeCell ref="LS9:LS10"/>
    <mergeCell ref="LT9:LT10"/>
    <mergeCell ref="LU9:LU10"/>
    <mergeCell ref="LV9:LV10"/>
    <mergeCell ref="LW9:LW10"/>
    <mergeCell ref="LX9:LX10"/>
    <mergeCell ref="LY9:LY10"/>
    <mergeCell ref="MG9:MG10"/>
    <mergeCell ref="MH9:MH10"/>
    <mergeCell ref="MI9:MI10"/>
    <mergeCell ref="MJ9:MJ10"/>
    <mergeCell ref="MK9:MK10"/>
    <mergeCell ref="ML9:ML10"/>
    <mergeCell ref="LZ9:LZ10"/>
    <mergeCell ref="MA9:MA10"/>
    <mergeCell ref="MB9:MB10"/>
    <mergeCell ref="MC9:MC10"/>
    <mergeCell ref="MD9:MD10"/>
    <mergeCell ref="ME9:ME10"/>
    <mergeCell ref="MF9:MF10"/>
    <mergeCell ref="JH9:JH10"/>
    <mergeCell ref="JI9:JI10"/>
    <mergeCell ref="JJ9:JJ10"/>
    <mergeCell ref="JK9:JK10"/>
    <mergeCell ref="JL9:JL10"/>
    <mergeCell ref="JM9:JM10"/>
    <mergeCell ref="JN9:JN10"/>
    <mergeCell ref="JO9:JO10"/>
    <mergeCell ref="JP9:JP10"/>
    <mergeCell ref="JQ9:JQ10"/>
    <mergeCell ref="JR9:JR10"/>
    <mergeCell ref="JS9:JS10"/>
    <mergeCell ref="JT9:JT10"/>
    <mergeCell ref="JU9:JU10"/>
    <mergeCell ref="JV9:JV10"/>
    <mergeCell ref="JW9:JW10"/>
    <mergeCell ref="JX9:JX10"/>
    <mergeCell ref="JY9:JY10"/>
    <mergeCell ref="JZ9:JZ10"/>
    <mergeCell ref="BB3:BB7"/>
    <mergeCell ref="AU3:AU7"/>
    <mergeCell ref="AV3:AV7"/>
    <mergeCell ref="AW3:AW7"/>
    <mergeCell ref="AX3:AX7"/>
    <mergeCell ref="AY3:AY7"/>
    <mergeCell ref="AZ3:AZ7"/>
    <mergeCell ref="BA3:BA7"/>
    <mergeCell ref="CP9:CP10"/>
    <mergeCell ref="CQ9:CQ10"/>
    <mergeCell ref="BJ9:BJ10"/>
    <mergeCell ref="BK9:BK10"/>
    <mergeCell ref="BL9:BL10"/>
    <mergeCell ref="BM9:BM10"/>
    <mergeCell ref="BN9:BN10"/>
    <mergeCell ref="BO9:BO10"/>
    <mergeCell ref="BP9:BP10"/>
    <mergeCell ref="BQ9:BQ10"/>
    <mergeCell ref="BR9:BR10"/>
    <mergeCell ref="BS9:BS10"/>
    <mergeCell ref="BT9:BT10"/>
    <mergeCell ref="BU9:BU10"/>
    <mergeCell ref="BV9:BV10"/>
    <mergeCell ref="BC3:BC7"/>
    <mergeCell ref="AV9:AV10"/>
    <mergeCell ref="AW9:AW10"/>
    <mergeCell ref="AX9:AX10"/>
    <mergeCell ref="AY9:AY10"/>
    <mergeCell ref="AZ9:AZ10"/>
    <mergeCell ref="BA9:BA10"/>
    <mergeCell ref="BB9:BB10"/>
    <mergeCell ref="BC9:BC10"/>
    <mergeCell ref="KW9:KW10"/>
    <mergeCell ref="KX9:KX10"/>
    <mergeCell ref="JD9:JD10"/>
    <mergeCell ref="JE9:JE10"/>
    <mergeCell ref="JF9:JF10"/>
    <mergeCell ref="JG9:JG10"/>
    <mergeCell ref="ID9:ID10"/>
    <mergeCell ref="IE9:IE10"/>
    <mergeCell ref="IF9:IF10"/>
    <mergeCell ref="IG9:IG10"/>
    <mergeCell ref="IH9:IH10"/>
    <mergeCell ref="II9:II10"/>
    <mergeCell ref="IJ9:IJ10"/>
    <mergeCell ref="IK9:IK10"/>
    <mergeCell ref="IL9:IL10"/>
    <mergeCell ref="IM9:IM10"/>
    <mergeCell ref="IN9:IN10"/>
    <mergeCell ref="IU9:IU10"/>
    <mergeCell ref="IV9:IV10"/>
    <mergeCell ref="IW9:IW10"/>
    <mergeCell ref="IX9:IX10"/>
    <mergeCell ref="IY9:IY10"/>
    <mergeCell ref="IZ9:IZ10"/>
    <mergeCell ref="JA9:JA10"/>
    <mergeCell ref="JB9:JB10"/>
    <mergeCell ref="JC9:JC10"/>
    <mergeCell ref="IO9:IO10"/>
    <mergeCell ref="IP9:IP10"/>
    <mergeCell ref="IQ9:IQ10"/>
    <mergeCell ref="IR9:IR10"/>
    <mergeCell ref="IS9:IS10"/>
    <mergeCell ref="IT9:IT10"/>
    <mergeCell ref="AC3:AC7"/>
    <mergeCell ref="AD3:AD7"/>
    <mergeCell ref="AE3:AE7"/>
    <mergeCell ref="AF3:AF7"/>
    <mergeCell ref="AG3:AG7"/>
    <mergeCell ref="AH3:AH7"/>
    <mergeCell ref="AI3:AI7"/>
    <mergeCell ref="AS3:AS7"/>
    <mergeCell ref="AT3:AT7"/>
    <mergeCell ref="AL3:AL7"/>
    <mergeCell ref="AM3:AM7"/>
    <mergeCell ref="AN3:AN7"/>
    <mergeCell ref="AO3:AO7"/>
    <mergeCell ref="AP3:AP7"/>
    <mergeCell ref="AQ3:AQ7"/>
    <mergeCell ref="AR3:AR7"/>
    <mergeCell ref="AJ3:AJ7"/>
    <mergeCell ref="AK3:AK7"/>
    <mergeCell ref="BC1:BC2"/>
    <mergeCell ref="BD1:BD2"/>
    <mergeCell ref="BD3:BD7"/>
    <mergeCell ref="H3:H7"/>
    <mergeCell ref="I3:I7"/>
    <mergeCell ref="O3:O7"/>
    <mergeCell ref="P3:P7"/>
    <mergeCell ref="Q3:Q7"/>
    <mergeCell ref="R3:R7"/>
    <mergeCell ref="S3:S7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O1:O2"/>
    <mergeCell ref="AZ1:AZ2"/>
    <mergeCell ref="BA1:BA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X1:AX2"/>
    <mergeCell ref="AY1:AY2"/>
    <mergeCell ref="BB1:BB2"/>
    <mergeCell ref="AW1:AW2"/>
    <mergeCell ref="AS9:AS10"/>
    <mergeCell ref="AT9:AT10"/>
    <mergeCell ref="AU9:AU10"/>
    <mergeCell ref="BD9:BD10"/>
    <mergeCell ref="BE9:BE10"/>
    <mergeCell ref="BF9:BF10"/>
    <mergeCell ref="BG9:BG10"/>
    <mergeCell ref="BH9:BH10"/>
    <mergeCell ref="BI9:BI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B10"/>
    <mergeCell ref="AC9:AC10"/>
    <mergeCell ref="AD9:AD10"/>
    <mergeCell ref="DG9:DG10"/>
    <mergeCell ref="CA9:CA10"/>
    <mergeCell ref="CB9:CB10"/>
    <mergeCell ref="CC9:CC10"/>
    <mergeCell ref="CD9:CD10"/>
    <mergeCell ref="CE9:CE10"/>
    <mergeCell ref="CF9:CF10"/>
    <mergeCell ref="CG9:CG10"/>
    <mergeCell ref="CH9:CH10"/>
    <mergeCell ref="CI9:CI10"/>
    <mergeCell ref="CJ9:CJ10"/>
    <mergeCell ref="CK9:CK10"/>
    <mergeCell ref="CL9:CL10"/>
    <mergeCell ref="CM9:CM10"/>
    <mergeCell ref="CN9:CN10"/>
    <mergeCell ref="CO9:CO10"/>
    <mergeCell ref="BW9:BW10"/>
    <mergeCell ref="BX9:BX10"/>
    <mergeCell ref="BY9:BY10"/>
    <mergeCell ref="BZ9:BZ10"/>
    <mergeCell ref="CR9:CR10"/>
    <mergeCell ref="CS9:CS10"/>
    <mergeCell ref="CT9:CT10"/>
    <mergeCell ref="CU9:CU10"/>
    <mergeCell ref="CV9:CV10"/>
    <mergeCell ref="CW9:CW10"/>
    <mergeCell ref="CX9:CX10"/>
    <mergeCell ref="CY9:CY10"/>
    <mergeCell ref="CZ9:CZ10"/>
    <mergeCell ref="DA9:DA10"/>
    <mergeCell ref="DB9:DB10"/>
    <mergeCell ref="DC9:DC10"/>
    <mergeCell ref="A50:E52"/>
    <mergeCell ref="F50:G50"/>
    <mergeCell ref="F51:G51"/>
    <mergeCell ref="F52:G52"/>
    <mergeCell ref="F54:G54"/>
    <mergeCell ref="F57:G57"/>
    <mergeCell ref="A11:B11"/>
    <mergeCell ref="A19:B19"/>
    <mergeCell ref="A25:B25"/>
    <mergeCell ref="A32:B32"/>
    <mergeCell ref="A37:B37"/>
    <mergeCell ref="A43:B43"/>
    <mergeCell ref="H1:H2"/>
    <mergeCell ref="D3:F3"/>
    <mergeCell ref="J3:J7"/>
    <mergeCell ref="DE9:DE10"/>
    <mergeCell ref="DF9:DF10"/>
    <mergeCell ref="DD9:DD10"/>
    <mergeCell ref="AE9:AE10"/>
    <mergeCell ref="AF9:AF10"/>
    <mergeCell ref="AG9:AG10"/>
    <mergeCell ref="AH9:AH10"/>
    <mergeCell ref="AI9:AI10"/>
    <mergeCell ref="AJ9:AJ10"/>
    <mergeCell ref="AK9:AK10"/>
    <mergeCell ref="AL9:AL10"/>
    <mergeCell ref="AM9:AM10"/>
    <mergeCell ref="AN9:AN10"/>
    <mergeCell ref="AO9:AO10"/>
    <mergeCell ref="AP9:AP10"/>
    <mergeCell ref="AQ9:AQ10"/>
    <mergeCell ref="AR9:AR10"/>
    <mergeCell ref="K3:K7"/>
    <mergeCell ref="L3:L7"/>
    <mergeCell ref="M3:M7"/>
    <mergeCell ref="I1:I2"/>
    <mergeCell ref="D4:F4"/>
    <mergeCell ref="J1:J2"/>
    <mergeCell ref="K1:K2"/>
    <mergeCell ref="L1:L2"/>
    <mergeCell ref="M1:M2"/>
    <mergeCell ref="N1:N2"/>
    <mergeCell ref="B2:B7"/>
    <mergeCell ref="N3:N7"/>
    <mergeCell ref="G9:G10"/>
    <mergeCell ref="H9:H10"/>
    <mergeCell ref="I9:I10"/>
    <mergeCell ref="J9:J10"/>
    <mergeCell ref="K9:K10"/>
    <mergeCell ref="L9:L10"/>
    <mergeCell ref="M9:M10"/>
    <mergeCell ref="D5:F5"/>
    <mergeCell ref="D6:F6"/>
    <mergeCell ref="A9:B10"/>
    <mergeCell ref="C9:C10"/>
    <mergeCell ref="D9:D10"/>
    <mergeCell ref="E9:E10"/>
    <mergeCell ref="F9:F10"/>
    <mergeCell ref="N9:N10"/>
    <mergeCell ref="MM1:MM2"/>
    <mergeCell ref="MN1:MN2"/>
    <mergeCell ref="MO1:MO2"/>
    <mergeCell ref="MP1:MP2"/>
    <mergeCell ref="MQ1:MQ2"/>
    <mergeCell ref="MR1:MR2"/>
    <mergeCell ref="MS1:MS2"/>
    <mergeCell ref="MT1:MT2"/>
    <mergeCell ref="MU1:MU2"/>
    <mergeCell ref="MV1:MV2"/>
    <mergeCell ref="MW1:MW2"/>
    <mergeCell ref="MX1:MX2"/>
    <mergeCell ref="MY1:MY2"/>
    <mergeCell ref="MZ1:MZ2"/>
    <mergeCell ref="NA1:NA2"/>
    <mergeCell ref="NB1:NB2"/>
    <mergeCell ref="NC1:NC2"/>
    <mergeCell ref="ND1:ND2"/>
    <mergeCell ref="NE1:NE2"/>
    <mergeCell ref="NF1:NF2"/>
    <mergeCell ref="NG1:NG2"/>
    <mergeCell ref="NH1:NH2"/>
    <mergeCell ref="NI1:NI2"/>
    <mergeCell ref="NJ1:NJ2"/>
    <mergeCell ref="NK1:NK2"/>
    <mergeCell ref="NL1:NL2"/>
    <mergeCell ref="NM1:NM2"/>
    <mergeCell ref="NN1:NN2"/>
    <mergeCell ref="NO1:NO2"/>
    <mergeCell ref="NP1:NP2"/>
    <mergeCell ref="NQ1:NQ2"/>
    <mergeCell ref="NR1:NR2"/>
    <mergeCell ref="NS1:NS2"/>
    <mergeCell ref="NT1:NT2"/>
    <mergeCell ref="NU1:NU2"/>
    <mergeCell ref="NV1:NV2"/>
    <mergeCell ref="NW1:NW2"/>
    <mergeCell ref="NX1:NX2"/>
    <mergeCell ref="NY1:NY2"/>
    <mergeCell ref="NZ1:NZ2"/>
    <mergeCell ref="OA1:OA2"/>
    <mergeCell ref="OB1:OB2"/>
    <mergeCell ref="OC1:OC2"/>
    <mergeCell ref="OD1:OD2"/>
    <mergeCell ref="OE1:OE2"/>
    <mergeCell ref="OF1:OF2"/>
    <mergeCell ref="OG1:OG2"/>
    <mergeCell ref="OH1:OH2"/>
    <mergeCell ref="OI1:OI2"/>
    <mergeCell ref="QG1:QG2"/>
    <mergeCell ref="QH1:QH2"/>
    <mergeCell ref="PC1:PC2"/>
    <mergeCell ref="PD1:PD2"/>
    <mergeCell ref="PE1:PE2"/>
    <mergeCell ref="PF1:PF2"/>
    <mergeCell ref="PG1:PG2"/>
    <mergeCell ref="PH1:PH2"/>
    <mergeCell ref="PI1:PI2"/>
    <mergeCell ref="PJ1:PJ2"/>
    <mergeCell ref="PK1:PK2"/>
    <mergeCell ref="PL1:PL2"/>
    <mergeCell ref="PM1:PM2"/>
    <mergeCell ref="PN1:PN2"/>
    <mergeCell ref="PO1:PO2"/>
    <mergeCell ref="PP1:PP2"/>
    <mergeCell ref="PQ1:PQ2"/>
    <mergeCell ref="QI1:QI2"/>
    <mergeCell ref="QJ1:QJ2"/>
    <mergeCell ref="QK1:QK2"/>
    <mergeCell ref="QL1:QL2"/>
    <mergeCell ref="QM1:QM2"/>
    <mergeCell ref="QN1:QN2"/>
    <mergeCell ref="QO1:QO2"/>
    <mergeCell ref="QP1:QP2"/>
    <mergeCell ref="QQ1:QQ2"/>
    <mergeCell ref="QR1:QR2"/>
    <mergeCell ref="QS1:QS2"/>
    <mergeCell ref="QT1:QT2"/>
    <mergeCell ref="QU1:QU2"/>
    <mergeCell ref="QV1:QV2"/>
    <mergeCell ref="QW1:QW2"/>
    <mergeCell ref="QX1:QX2"/>
    <mergeCell ref="QY1:QY2"/>
    <mergeCell ref="QZ1:QZ2"/>
    <mergeCell ref="RA1:RA2"/>
    <mergeCell ref="RB1:RB2"/>
    <mergeCell ref="RC1:RC2"/>
    <mergeCell ref="RD1:RD2"/>
    <mergeCell ref="RE1:RE2"/>
    <mergeCell ref="RF1:RF2"/>
    <mergeCell ref="RG1:RG2"/>
    <mergeCell ref="RH1:RH2"/>
    <mergeCell ref="RI1:RI2"/>
    <mergeCell ref="RJ1:RJ2"/>
    <mergeCell ref="RK1:RK2"/>
    <mergeCell ref="RL1:RL2"/>
    <mergeCell ref="RM1:RM2"/>
    <mergeCell ref="RN1:RN2"/>
    <mergeCell ref="RO1:RO2"/>
    <mergeCell ref="RW1:RW2"/>
    <mergeCell ref="RX1:RX2"/>
    <mergeCell ref="RY1:RY2"/>
    <mergeCell ref="RZ1:RZ2"/>
    <mergeCell ref="SA1:SA2"/>
    <mergeCell ref="SB1:SB2"/>
    <mergeCell ref="SC1:SC2"/>
    <mergeCell ref="RP1:RP2"/>
    <mergeCell ref="RQ1:RQ2"/>
    <mergeCell ref="RR1:RR2"/>
    <mergeCell ref="RS1:RS2"/>
    <mergeCell ref="RT1:RT2"/>
    <mergeCell ref="RU1:RU2"/>
    <mergeCell ref="RV1:RV2"/>
    <mergeCell ref="OJ1:OJ2"/>
    <mergeCell ref="OK1:OK2"/>
    <mergeCell ref="OL1:OL2"/>
    <mergeCell ref="OM1:OM2"/>
    <mergeCell ref="ON1:ON2"/>
    <mergeCell ref="OO1:OO2"/>
    <mergeCell ref="OP1:OP2"/>
    <mergeCell ref="OQ1:OQ2"/>
    <mergeCell ref="OR1:OR2"/>
    <mergeCell ref="OS1:OS2"/>
    <mergeCell ref="OT1:OT2"/>
    <mergeCell ref="OU1:OU2"/>
    <mergeCell ref="OV1:OV2"/>
    <mergeCell ref="OW1:OW2"/>
    <mergeCell ref="OX1:OX2"/>
    <mergeCell ref="OY1:OY2"/>
    <mergeCell ref="OZ1:OZ2"/>
    <mergeCell ref="PA1:PA2"/>
    <mergeCell ref="PB1:PB2"/>
    <mergeCell ref="PR1:PR2"/>
    <mergeCell ref="PS1:PS2"/>
    <mergeCell ref="PT1:PT2"/>
    <mergeCell ref="PU1:PU2"/>
    <mergeCell ref="PV1:PV2"/>
    <mergeCell ref="PW1:PW2"/>
    <mergeCell ref="PX1:PX2"/>
    <mergeCell ref="PY1:PY2"/>
    <mergeCell ref="PZ1:PZ2"/>
    <mergeCell ref="QA1:QA2"/>
    <mergeCell ref="QB1:QB2"/>
    <mergeCell ref="QC1:QC2"/>
    <mergeCell ref="QD1:QD2"/>
    <mergeCell ref="QE1:QE2"/>
    <mergeCell ref="QF1:QF2"/>
    <mergeCell ref="EW3:EW7"/>
    <mergeCell ref="EX3:EX7"/>
    <mergeCell ref="FO3:FO7"/>
    <mergeCell ref="FP3:FP7"/>
    <mergeCell ref="FQ3:FQ7"/>
    <mergeCell ref="FR3:FR7"/>
    <mergeCell ref="FS3:FS7"/>
    <mergeCell ref="FT3:FT7"/>
    <mergeCell ref="FU3:FU7"/>
    <mergeCell ref="FV3:FV7"/>
    <mergeCell ref="FW3:FW7"/>
    <mergeCell ref="FX3:FX7"/>
    <mergeCell ref="FY3:FY7"/>
    <mergeCell ref="FZ3:FZ7"/>
    <mergeCell ref="GA3:GA7"/>
    <mergeCell ref="GB3:GB7"/>
    <mergeCell ref="GC3:GC7"/>
    <mergeCell ref="DA3:DA7"/>
    <mergeCell ref="DB3:DB7"/>
    <mergeCell ref="DC3:DC7"/>
    <mergeCell ref="DD3:DD7"/>
    <mergeCell ref="DE3:DE7"/>
    <mergeCell ref="DF3:DF7"/>
    <mergeCell ref="DG3:DG7"/>
    <mergeCell ref="DH3:DH7"/>
    <mergeCell ref="DI3:DI7"/>
    <mergeCell ref="DJ3:DJ7"/>
    <mergeCell ref="DK3:DK7"/>
    <mergeCell ref="DL3:DL7"/>
    <mergeCell ref="DM3:DM7"/>
    <mergeCell ref="DN3:DN7"/>
    <mergeCell ref="DO3:DO7"/>
    <mergeCell ref="DP3:DP7"/>
    <mergeCell ref="DQ3:DQ7"/>
    <mergeCell ref="DR3:DR7"/>
    <mergeCell ref="DS3:DS7"/>
    <mergeCell ref="DT3:DT7"/>
    <mergeCell ref="DU3:DU7"/>
    <mergeCell ref="DV3:DV7"/>
    <mergeCell ref="DW3:DW7"/>
    <mergeCell ref="DX3:DX7"/>
    <mergeCell ref="DY3:DY7"/>
    <mergeCell ref="DZ3:DZ7"/>
    <mergeCell ref="EA3:EA7"/>
    <mergeCell ref="EB3:EB7"/>
    <mergeCell ref="EC3:EC7"/>
    <mergeCell ref="ED3:ED7"/>
    <mergeCell ref="EE3:EE7"/>
    <mergeCell ref="EF3:EF7"/>
    <mergeCell ref="EG3:EG7"/>
    <mergeCell ref="EH3:EH7"/>
    <mergeCell ref="EI3:EI7"/>
    <mergeCell ref="EJ3:EJ7"/>
    <mergeCell ref="EK3:EK7"/>
    <mergeCell ref="EL3:EL7"/>
    <mergeCell ref="EM3:EM7"/>
    <mergeCell ref="EN3:EN7"/>
    <mergeCell ref="EO3:EO7"/>
    <mergeCell ref="HC3:HC7"/>
    <mergeCell ref="HD3:HD7"/>
    <mergeCell ref="GV3:GV7"/>
    <mergeCell ref="GW3:GW7"/>
    <mergeCell ref="GX3:GX7"/>
    <mergeCell ref="GY3:GY7"/>
    <mergeCell ref="GZ3:GZ7"/>
    <mergeCell ref="HA3:HA7"/>
    <mergeCell ref="HB3:HB7"/>
    <mergeCell ref="EY3:EY7"/>
    <mergeCell ref="EZ3:EZ7"/>
    <mergeCell ref="FA3:FA7"/>
    <mergeCell ref="FB3:FB7"/>
    <mergeCell ref="FC3:FC7"/>
    <mergeCell ref="FD3:FD7"/>
    <mergeCell ref="FE3:FE7"/>
    <mergeCell ref="FF3:FF7"/>
    <mergeCell ref="FG3:FG7"/>
    <mergeCell ref="FH3:FH7"/>
    <mergeCell ref="FI3:FI7"/>
    <mergeCell ref="FJ3:FJ7"/>
    <mergeCell ref="FK3:FK7"/>
    <mergeCell ref="FL3:FL7"/>
    <mergeCell ref="FM3:FM7"/>
    <mergeCell ref="FN3:FN7"/>
    <mergeCell ref="GD3:GD7"/>
    <mergeCell ref="GE3:GE7"/>
    <mergeCell ref="GF3:GF7"/>
    <mergeCell ref="GG3:GG7"/>
    <mergeCell ref="GH3:GH7"/>
    <mergeCell ref="GI3:GI7"/>
    <mergeCell ref="GJ3:GJ7"/>
    <mergeCell ref="GK3:GK7"/>
    <mergeCell ref="GL3:GL7"/>
    <mergeCell ref="GM3:GM7"/>
    <mergeCell ref="GN3:GN7"/>
    <mergeCell ref="GO3:GO7"/>
    <mergeCell ref="GP3:GP7"/>
    <mergeCell ref="GQ3:GQ7"/>
    <mergeCell ref="GR3:GR7"/>
    <mergeCell ref="GS3:GS7"/>
    <mergeCell ref="GT3:GT7"/>
    <mergeCell ref="GU3:GU7"/>
    <mergeCell ref="JI3:JI7"/>
    <mergeCell ref="JJ3:JJ7"/>
    <mergeCell ref="JB3:JB7"/>
    <mergeCell ref="JC3:JC7"/>
    <mergeCell ref="JD3:JD7"/>
    <mergeCell ref="JE3:JE7"/>
    <mergeCell ref="JF3:JF7"/>
    <mergeCell ref="JG3:JG7"/>
    <mergeCell ref="JH3:JH7"/>
    <mergeCell ref="HE3:HE7"/>
    <mergeCell ref="HF3:HF7"/>
    <mergeCell ref="HG3:HG7"/>
    <mergeCell ref="HH3:HH7"/>
    <mergeCell ref="HI3:HI7"/>
    <mergeCell ref="HJ3:HJ7"/>
    <mergeCell ref="HK3:HK7"/>
    <mergeCell ref="HL3:HL7"/>
    <mergeCell ref="HM3:HM7"/>
    <mergeCell ref="HN3:HN7"/>
    <mergeCell ref="HO3:HO7"/>
    <mergeCell ref="HP3:HP7"/>
    <mergeCell ref="HQ3:HQ7"/>
    <mergeCell ref="HR3:HR7"/>
    <mergeCell ref="HS3:HS7"/>
    <mergeCell ref="HT3:HT7"/>
    <mergeCell ref="HU3:HU7"/>
    <mergeCell ref="HV3:HV7"/>
    <mergeCell ref="HW3:HW7"/>
    <mergeCell ref="HX3:HX7"/>
    <mergeCell ref="HY3:HY7"/>
    <mergeCell ref="HZ3:HZ7"/>
    <mergeCell ref="IA3:IA7"/>
    <mergeCell ref="IB3:IB7"/>
    <mergeCell ref="IC3:IC7"/>
    <mergeCell ref="ID3:ID7"/>
    <mergeCell ref="IE3:IE7"/>
    <mergeCell ref="IF3:IF7"/>
    <mergeCell ref="IG3:IG7"/>
    <mergeCell ref="IH3:IH7"/>
    <mergeCell ref="II3:II7"/>
    <mergeCell ref="IJ3:IJ7"/>
    <mergeCell ref="IK3:IK7"/>
    <mergeCell ref="IL3:IL7"/>
    <mergeCell ref="IM3:IM7"/>
    <mergeCell ref="IN3:IN7"/>
    <mergeCell ref="IO3:IO7"/>
    <mergeCell ref="IP3:IP7"/>
    <mergeCell ref="IQ3:IQ7"/>
    <mergeCell ref="IR3:IR7"/>
    <mergeCell ref="IS3:IS7"/>
    <mergeCell ref="IT3:IT7"/>
    <mergeCell ref="IU3:IU7"/>
    <mergeCell ref="IV3:IV7"/>
    <mergeCell ref="IW3:IW7"/>
    <mergeCell ref="IX3:IX7"/>
    <mergeCell ref="IY3:IY7"/>
    <mergeCell ref="IZ3:IZ7"/>
    <mergeCell ref="JA3:JA7"/>
    <mergeCell ref="JK3:JK7"/>
    <mergeCell ref="JL3:JL7"/>
    <mergeCell ref="JM3:JM7"/>
    <mergeCell ref="JN3:JN7"/>
    <mergeCell ref="JO3:JO7"/>
    <mergeCell ref="JP3:JP7"/>
    <mergeCell ref="JQ3:JQ7"/>
    <mergeCell ref="JR3:JR7"/>
    <mergeCell ref="JS3:JS7"/>
    <mergeCell ref="JT3:JT7"/>
    <mergeCell ref="JU3:JU7"/>
    <mergeCell ref="JV3:JV7"/>
    <mergeCell ref="JW3:JW7"/>
    <mergeCell ref="JX3:JX7"/>
    <mergeCell ref="JY3:JY7"/>
    <mergeCell ref="JZ3:JZ7"/>
    <mergeCell ref="KA3:KA7"/>
    <mergeCell ref="KB3:KB7"/>
    <mergeCell ref="KC3:KC7"/>
    <mergeCell ref="KD3:KD7"/>
    <mergeCell ref="KE3:KE7"/>
    <mergeCell ref="KF3:KF7"/>
    <mergeCell ref="KG3:KG7"/>
    <mergeCell ref="KH3:KH7"/>
    <mergeCell ref="KI3:KI7"/>
    <mergeCell ref="KJ3:KJ7"/>
    <mergeCell ref="KK3:KK7"/>
    <mergeCell ref="KL3:KL7"/>
    <mergeCell ref="KM3:KM7"/>
    <mergeCell ref="KN3:KN7"/>
    <mergeCell ref="KO3:KO7"/>
    <mergeCell ref="KP3:KP7"/>
    <mergeCell ref="KQ3:KQ7"/>
    <mergeCell ref="KR3:KR7"/>
    <mergeCell ref="KS3:KS7"/>
    <mergeCell ref="KT3:KT7"/>
    <mergeCell ref="KU3:KU7"/>
    <mergeCell ref="KV3:KV7"/>
    <mergeCell ref="KW3:KW7"/>
    <mergeCell ref="KX3:KX7"/>
    <mergeCell ref="KY3:KY7"/>
    <mergeCell ref="KZ3:KZ7"/>
    <mergeCell ref="LA3:LA7"/>
    <mergeCell ref="LB3:LB7"/>
    <mergeCell ref="LC3:LC7"/>
    <mergeCell ref="LD3:LD7"/>
    <mergeCell ref="LE3:LE7"/>
    <mergeCell ref="LF3:LF7"/>
    <mergeCell ref="LG3:LG7"/>
    <mergeCell ref="LH3:LH7"/>
    <mergeCell ref="LI3:LI7"/>
    <mergeCell ref="LJ3:LJ7"/>
    <mergeCell ref="LK3:LK7"/>
    <mergeCell ref="LL3:LL7"/>
    <mergeCell ref="LM3:LM7"/>
    <mergeCell ref="LN3:LN7"/>
    <mergeCell ref="LO3:LO7"/>
    <mergeCell ref="LP3:LP7"/>
    <mergeCell ref="MM9:MM10"/>
    <mergeCell ref="MN9:MN10"/>
    <mergeCell ref="MO9:MO10"/>
    <mergeCell ref="MP9:MP10"/>
    <mergeCell ref="MQ9:MQ10"/>
    <mergeCell ref="MR9:MR10"/>
    <mergeCell ref="MS9:MS10"/>
    <mergeCell ref="MT9:MT10"/>
    <mergeCell ref="MU9:MU10"/>
    <mergeCell ref="MV9:MV10"/>
    <mergeCell ref="MW9:MW10"/>
    <mergeCell ref="MX9:MX10"/>
    <mergeCell ref="MY9:MY10"/>
    <mergeCell ref="MZ9:MZ10"/>
    <mergeCell ref="NA9:NA10"/>
    <mergeCell ref="NB9:NB10"/>
    <mergeCell ref="NC9:NC10"/>
    <mergeCell ref="ND9:ND10"/>
    <mergeCell ref="NE9:NE10"/>
    <mergeCell ref="NF9:NF10"/>
    <mergeCell ref="NG9:NG10"/>
    <mergeCell ref="NH9:NH10"/>
    <mergeCell ref="NI9:NI10"/>
    <mergeCell ref="NJ9:NJ10"/>
    <mergeCell ref="NK9:NK10"/>
    <mergeCell ref="NL9:NL10"/>
    <mergeCell ref="NM9:NM10"/>
    <mergeCell ref="NN9:NN10"/>
    <mergeCell ref="NO9:NO10"/>
    <mergeCell ref="NP9:NP10"/>
    <mergeCell ref="NQ9:NQ10"/>
    <mergeCell ref="NR9:NR10"/>
    <mergeCell ref="NS9:NS10"/>
    <mergeCell ref="NT9:NT10"/>
    <mergeCell ref="NU9:NU10"/>
    <mergeCell ref="NV9:NV10"/>
    <mergeCell ref="NW9:NW10"/>
    <mergeCell ref="NX9:NX10"/>
    <mergeCell ref="NY9:NY10"/>
    <mergeCell ref="NZ9:NZ10"/>
    <mergeCell ref="OA9:OA10"/>
    <mergeCell ref="OB9:OB10"/>
    <mergeCell ref="OC9:OC10"/>
    <mergeCell ref="OD9:OD10"/>
    <mergeCell ref="OE9:OE10"/>
    <mergeCell ref="OF9:OF10"/>
    <mergeCell ref="OG9:OG10"/>
    <mergeCell ref="OH9:OH10"/>
    <mergeCell ref="OI9:OI10"/>
    <mergeCell ref="OJ9:OJ10"/>
    <mergeCell ref="OK9:OK10"/>
    <mergeCell ref="OL9:OL10"/>
    <mergeCell ref="OM9:OM10"/>
    <mergeCell ref="ON9:ON10"/>
    <mergeCell ref="OO9:OO10"/>
    <mergeCell ref="OP9:OP10"/>
    <mergeCell ref="OQ9:OQ10"/>
    <mergeCell ref="OR9:OR10"/>
    <mergeCell ref="OS9:OS10"/>
    <mergeCell ref="OT9:OT10"/>
    <mergeCell ref="OU9:OU10"/>
    <mergeCell ref="OV9:OV10"/>
    <mergeCell ref="OW9:OW10"/>
    <mergeCell ref="OX9:OX10"/>
    <mergeCell ref="OY9:OY10"/>
    <mergeCell ref="OZ9:OZ10"/>
    <mergeCell ref="PA9:PA10"/>
    <mergeCell ref="PB9:PB10"/>
    <mergeCell ref="PC9:PC10"/>
    <mergeCell ref="PD9:PD10"/>
    <mergeCell ref="PE9:PE10"/>
    <mergeCell ref="PF9:PF10"/>
    <mergeCell ref="PG9:PG10"/>
    <mergeCell ref="PH9:PH10"/>
    <mergeCell ref="PI9:PI10"/>
    <mergeCell ref="PJ9:PJ10"/>
    <mergeCell ref="PK9:PK10"/>
    <mergeCell ref="PL9:PL10"/>
    <mergeCell ref="PM9:PM10"/>
    <mergeCell ref="PN9:PN10"/>
    <mergeCell ref="PO9:PO10"/>
    <mergeCell ref="PP9:PP10"/>
    <mergeCell ref="PQ9:PQ10"/>
    <mergeCell ref="PR9:PR10"/>
    <mergeCell ref="PS9:PS10"/>
    <mergeCell ref="PT9:PT10"/>
    <mergeCell ref="PU9:PU10"/>
    <mergeCell ref="PV9:PV10"/>
    <mergeCell ref="PW9:PW10"/>
    <mergeCell ref="SB9:SB10"/>
    <mergeCell ref="SC9:SC10"/>
    <mergeCell ref="RU9:RU10"/>
    <mergeCell ref="RV9:RV10"/>
    <mergeCell ref="RW9:RW10"/>
    <mergeCell ref="RX9:RX10"/>
    <mergeCell ref="RY9:RY10"/>
    <mergeCell ref="RZ9:RZ10"/>
    <mergeCell ref="SA9:SA10"/>
    <mergeCell ref="PX9:PX10"/>
    <mergeCell ref="PY9:PY10"/>
    <mergeCell ref="PZ9:PZ10"/>
    <mergeCell ref="QA9:QA10"/>
    <mergeCell ref="QB9:QB10"/>
    <mergeCell ref="QC9:QC10"/>
    <mergeCell ref="QD9:QD10"/>
    <mergeCell ref="QE9:QE10"/>
    <mergeCell ref="QF9:QF10"/>
    <mergeCell ref="QG9:QG10"/>
    <mergeCell ref="QH9:QH10"/>
    <mergeCell ref="QI9:QI10"/>
    <mergeCell ref="QJ9:QJ10"/>
    <mergeCell ref="QK9:QK10"/>
    <mergeCell ref="QL9:QL10"/>
    <mergeCell ref="QM9:QM10"/>
    <mergeCell ref="QN9:QN10"/>
    <mergeCell ref="QO9:QO10"/>
    <mergeCell ref="QP9:QP10"/>
    <mergeCell ref="QQ9:QQ10"/>
    <mergeCell ref="QR9:QR10"/>
    <mergeCell ref="QS9:QS10"/>
    <mergeCell ref="QT9:QT10"/>
    <mergeCell ref="QU9:QU10"/>
    <mergeCell ref="QV9:QV10"/>
    <mergeCell ref="QW9:QW10"/>
    <mergeCell ref="QX9:QX10"/>
    <mergeCell ref="QY9:QY10"/>
    <mergeCell ref="QZ9:QZ10"/>
    <mergeCell ref="RA9:RA10"/>
    <mergeCell ref="RB9:RB10"/>
    <mergeCell ref="RC9:RC10"/>
    <mergeCell ref="RD9:RD10"/>
    <mergeCell ref="RE9:RE10"/>
    <mergeCell ref="RF9:RF10"/>
    <mergeCell ref="RG9:RG10"/>
    <mergeCell ref="RH9:RH10"/>
    <mergeCell ref="RI9:RI10"/>
    <mergeCell ref="RJ9:RJ10"/>
    <mergeCell ref="RK9:RK10"/>
    <mergeCell ref="RL9:RL10"/>
    <mergeCell ref="RM9:RM10"/>
    <mergeCell ref="RN9:RN10"/>
    <mergeCell ref="RO9:RO10"/>
    <mergeCell ref="RP9:RP10"/>
    <mergeCell ref="RQ9:RQ10"/>
    <mergeCell ref="RR9:RR10"/>
    <mergeCell ref="RS9:RS10"/>
    <mergeCell ref="RT9:RT10"/>
    <mergeCell ref="LQ3:LQ7"/>
    <mergeCell ref="LR3:LR7"/>
    <mergeCell ref="LS3:LS7"/>
    <mergeCell ref="LT3:LT7"/>
    <mergeCell ref="LU3:LU7"/>
    <mergeCell ref="LV3:LV7"/>
    <mergeCell ref="LW3:LW7"/>
    <mergeCell ref="LX3:LX7"/>
    <mergeCell ref="LY3:LY7"/>
    <mergeCell ref="LZ3:LZ7"/>
    <mergeCell ref="MA3:MA7"/>
    <mergeCell ref="MB3:MB7"/>
    <mergeCell ref="MC3:MC7"/>
    <mergeCell ref="MD3:MD7"/>
    <mergeCell ref="ME3:ME7"/>
    <mergeCell ref="MF3:MF7"/>
    <mergeCell ref="MG3:MG7"/>
    <mergeCell ref="MH3:MH7"/>
    <mergeCell ref="MI3:MI7"/>
    <mergeCell ref="MJ3:MJ7"/>
    <mergeCell ref="MK3:MK7"/>
    <mergeCell ref="ML3:ML7"/>
    <mergeCell ref="MM3:MM7"/>
    <mergeCell ref="MN3:MN7"/>
    <mergeCell ref="MO3:MO7"/>
    <mergeCell ref="MP3:MP7"/>
    <mergeCell ref="MQ3:MQ7"/>
    <mergeCell ref="MR3:MR7"/>
    <mergeCell ref="MS3:MS7"/>
    <mergeCell ref="MT3:MT7"/>
    <mergeCell ref="MU3:MU7"/>
    <mergeCell ref="MV3:MV7"/>
    <mergeCell ref="MW3:MW7"/>
    <mergeCell ref="MX3:MX7"/>
    <mergeCell ref="MY3:MY7"/>
    <mergeCell ref="MZ3:MZ7"/>
    <mergeCell ref="NA3:NA7"/>
    <mergeCell ref="NB3:NB7"/>
    <mergeCell ref="NC3:NC7"/>
    <mergeCell ref="ND3:ND7"/>
    <mergeCell ref="NE3:NE7"/>
    <mergeCell ref="NF3:NF7"/>
    <mergeCell ref="NG3:NG7"/>
    <mergeCell ref="NH3:NH7"/>
    <mergeCell ref="NI3:NI7"/>
    <mergeCell ref="NJ3:NJ7"/>
    <mergeCell ref="NK3:NK7"/>
    <mergeCell ref="NL3:NL7"/>
    <mergeCell ref="NM3:NM7"/>
    <mergeCell ref="NN3:NN7"/>
    <mergeCell ref="NO3:NO7"/>
    <mergeCell ref="NP3:NP7"/>
    <mergeCell ref="NQ3:NQ7"/>
    <mergeCell ref="NR3:NR7"/>
    <mergeCell ref="NS3:NS7"/>
    <mergeCell ref="NT3:NT7"/>
    <mergeCell ref="NU3:NU7"/>
    <mergeCell ref="NV3:NV7"/>
    <mergeCell ref="NW3:NW7"/>
    <mergeCell ref="NX3:NX7"/>
    <mergeCell ref="NY3:NY7"/>
    <mergeCell ref="NZ3:NZ7"/>
    <mergeCell ref="OA3:OA7"/>
    <mergeCell ref="OB3:OB7"/>
    <mergeCell ref="OC3:OC7"/>
    <mergeCell ref="OD3:OD7"/>
    <mergeCell ref="OE3:OE7"/>
    <mergeCell ref="OF3:OF7"/>
    <mergeCell ref="OG3:OG7"/>
    <mergeCell ref="OH3:OH7"/>
    <mergeCell ref="OI3:OI7"/>
    <mergeCell ref="OJ3:OJ7"/>
    <mergeCell ref="OK3:OK7"/>
    <mergeCell ref="OL3:OL7"/>
    <mergeCell ref="OM3:OM7"/>
    <mergeCell ref="ON3:ON7"/>
    <mergeCell ref="OO3:OO7"/>
    <mergeCell ref="OP3:OP7"/>
    <mergeCell ref="OQ3:OQ7"/>
    <mergeCell ref="OR3:OR7"/>
    <mergeCell ref="OS3:OS7"/>
    <mergeCell ref="OT3:OT7"/>
    <mergeCell ref="OU3:OU7"/>
    <mergeCell ref="OV3:OV7"/>
    <mergeCell ref="OW3:OW7"/>
    <mergeCell ref="OX3:OX7"/>
    <mergeCell ref="OY3:OY7"/>
    <mergeCell ref="OZ3:OZ7"/>
    <mergeCell ref="PA3:PA7"/>
    <mergeCell ref="PB3:PB7"/>
    <mergeCell ref="PC3:PC7"/>
    <mergeCell ref="PD3:PD7"/>
    <mergeCell ref="PE3:PE7"/>
    <mergeCell ref="PF3:PF7"/>
    <mergeCell ref="PG3:PG7"/>
    <mergeCell ref="PH3:PH7"/>
    <mergeCell ref="PI3:PI7"/>
    <mergeCell ref="PJ3:PJ7"/>
    <mergeCell ref="RH3:RH7"/>
    <mergeCell ref="RI3:RI7"/>
    <mergeCell ref="RJ3:RJ7"/>
    <mergeCell ref="RK3:RK7"/>
    <mergeCell ref="RL3:RL7"/>
    <mergeCell ref="RM3:RM7"/>
    <mergeCell ref="QA3:QA7"/>
    <mergeCell ref="QB3:QB7"/>
    <mergeCell ref="QC3:QC7"/>
    <mergeCell ref="QD3:QD7"/>
    <mergeCell ref="QE3:QE7"/>
    <mergeCell ref="QF3:QF7"/>
    <mergeCell ref="QG3:QG7"/>
    <mergeCell ref="QH3:QH7"/>
    <mergeCell ref="QI3:QI7"/>
    <mergeCell ref="QJ3:QJ7"/>
    <mergeCell ref="QK3:QK7"/>
    <mergeCell ref="QL3:QL7"/>
    <mergeCell ref="QM3:QM7"/>
    <mergeCell ref="QN3:QN7"/>
    <mergeCell ref="QO3:QO7"/>
    <mergeCell ref="RN3:RN7"/>
    <mergeCell ref="RV3:RV7"/>
    <mergeCell ref="RW3:RW7"/>
    <mergeCell ref="RX3:RX7"/>
    <mergeCell ref="RY3:RY7"/>
    <mergeCell ref="RZ3:RZ7"/>
    <mergeCell ref="SA3:SA7"/>
    <mergeCell ref="SB3:SB7"/>
    <mergeCell ref="SC3:SC7"/>
    <mergeCell ref="RO3:RO7"/>
    <mergeCell ref="RP3:RP7"/>
    <mergeCell ref="RQ3:RQ7"/>
    <mergeCell ref="RR3:RR7"/>
    <mergeCell ref="RS3:RS7"/>
    <mergeCell ref="RT3:RT7"/>
    <mergeCell ref="RU3:RU7"/>
    <mergeCell ref="PK3:PK7"/>
    <mergeCell ref="PL3:PL7"/>
    <mergeCell ref="PM3:PM7"/>
    <mergeCell ref="PN3:PN7"/>
    <mergeCell ref="PO3:PO7"/>
    <mergeCell ref="PP3:PP7"/>
    <mergeCell ref="PQ3:PQ7"/>
    <mergeCell ref="PR3:PR7"/>
    <mergeCell ref="PS3:PS7"/>
    <mergeCell ref="PT3:PT7"/>
    <mergeCell ref="PU3:PU7"/>
    <mergeCell ref="PV3:PV7"/>
    <mergeCell ref="PW3:PW7"/>
    <mergeCell ref="PX3:PX7"/>
    <mergeCell ref="PY3:PY7"/>
    <mergeCell ref="PZ3:PZ7"/>
    <mergeCell ref="QP3:QP7"/>
    <mergeCell ref="QQ3:QQ7"/>
    <mergeCell ref="QR3:QR7"/>
    <mergeCell ref="QS3:QS7"/>
    <mergeCell ref="QT3:QT7"/>
    <mergeCell ref="QU3:QU7"/>
    <mergeCell ref="QV3:QV7"/>
    <mergeCell ref="QW3:QW7"/>
    <mergeCell ref="QX3:QX7"/>
    <mergeCell ref="QY3:QY7"/>
    <mergeCell ref="QZ3:QZ7"/>
    <mergeCell ref="RA3:RA7"/>
    <mergeCell ref="RB3:RB7"/>
    <mergeCell ref="RC3:RC7"/>
    <mergeCell ref="RD3:RD7"/>
    <mergeCell ref="RE3:RE7"/>
    <mergeCell ref="RF3:RF7"/>
    <mergeCell ref="RG3:RG7"/>
    <mergeCell ref="FL9:FL10"/>
    <mergeCell ref="FM9:FM10"/>
    <mergeCell ref="FE9:FE10"/>
    <mergeCell ref="FF9:FF10"/>
    <mergeCell ref="FG9:FG10"/>
    <mergeCell ref="FH9:FH10"/>
    <mergeCell ref="FI9:FI10"/>
    <mergeCell ref="FJ9:FJ10"/>
    <mergeCell ref="FK9:FK10"/>
    <mergeCell ref="DH9:DH10"/>
    <mergeCell ref="DI9:DI10"/>
    <mergeCell ref="DJ9:DJ10"/>
    <mergeCell ref="DK9:DK10"/>
    <mergeCell ref="DL9:DL10"/>
    <mergeCell ref="DM9:DM10"/>
    <mergeCell ref="DN9:DN10"/>
    <mergeCell ref="DO9:DO10"/>
    <mergeCell ref="DP9:DP10"/>
    <mergeCell ref="DQ9:DQ10"/>
    <mergeCell ref="DR9:DR10"/>
    <mergeCell ref="DS9:DS10"/>
    <mergeCell ref="DT9:DT10"/>
    <mergeCell ref="DU9:DU10"/>
    <mergeCell ref="DV9:DV10"/>
    <mergeCell ref="DW9:DW10"/>
    <mergeCell ref="DX9:DX10"/>
    <mergeCell ref="DY9:DY10"/>
    <mergeCell ref="DZ9:DZ10"/>
    <mergeCell ref="EA9:EA10"/>
    <mergeCell ref="EB9:EB10"/>
    <mergeCell ref="EC9:EC10"/>
    <mergeCell ref="EU9:EU10"/>
    <mergeCell ref="EV9:EV10"/>
    <mergeCell ref="EW9:EW10"/>
    <mergeCell ref="EX9:EX10"/>
    <mergeCell ref="EY9:EY10"/>
    <mergeCell ref="EZ9:EZ10"/>
    <mergeCell ref="FA9:FA10"/>
    <mergeCell ref="FB9:FB10"/>
    <mergeCell ref="FC9:FC10"/>
    <mergeCell ref="FD9:FD10"/>
    <mergeCell ref="ED9:ED10"/>
    <mergeCell ref="EE9:EE10"/>
    <mergeCell ref="EF9:EF10"/>
    <mergeCell ref="EG9:EG10"/>
    <mergeCell ref="EH9:EH10"/>
    <mergeCell ref="EI9:EI10"/>
    <mergeCell ref="EJ9:EJ10"/>
    <mergeCell ref="EK9:EK10"/>
    <mergeCell ref="EL9:EL10"/>
    <mergeCell ref="EM9:EM10"/>
    <mergeCell ref="EN9:EN10"/>
    <mergeCell ref="EO9:EO10"/>
    <mergeCell ref="EP9:EP10"/>
    <mergeCell ref="EQ9:EQ10"/>
    <mergeCell ref="ER9:ER10"/>
    <mergeCell ref="ES9:ES10"/>
    <mergeCell ref="ET9:ET10"/>
  </mergeCells>
  <conditionalFormatting sqref="E11:E48">
    <cfRule type="cellIs" dxfId="16" priority="4" operator="equal">
      <formula>$G$1</formula>
    </cfRule>
    <cfRule type="cellIs" dxfId="15" priority="5" operator="equal">
      <formula>$G$2</formula>
    </cfRule>
    <cfRule type="cellIs" dxfId="14" priority="6" operator="equal">
      <formula>$G$3</formula>
    </cfRule>
    <cfRule type="cellIs" dxfId="13" priority="7" operator="equal">
      <formula>$G$4</formula>
    </cfRule>
    <cfRule type="cellIs" dxfId="12" priority="8" operator="equal">
      <formula>$G$5</formula>
    </cfRule>
    <cfRule type="cellIs" dxfId="11" priority="9" operator="equal">
      <formula>$G$6</formula>
    </cfRule>
  </conditionalFormatting>
  <conditionalFormatting sqref="H1:SC1">
    <cfRule type="expression" dxfId="10" priority="18">
      <formula>AND($D$4="",$D$5="")</formula>
    </cfRule>
  </conditionalFormatting>
  <conditionalFormatting sqref="H3:SC8">
    <cfRule type="expression" dxfId="9" priority="17">
      <formula>AND(H$8&gt;=$D$4,H$8&lt;=$D$5,$D4 &gt; 0)</formula>
    </cfRule>
  </conditionalFormatting>
  <conditionalFormatting sqref="H3:SC10">
    <cfRule type="containsBlanks" dxfId="8" priority="2">
      <formula>LEN(TRIM(H3))=0</formula>
    </cfRule>
  </conditionalFormatting>
  <conditionalFormatting sqref="H9:SC10">
    <cfRule type="timePeriod" dxfId="7" priority="15" timePeriod="today">
      <formula>FLOOR(H9,1)=TODAY()</formula>
    </cfRule>
    <cfRule type="expression" dxfId="6" priority="16">
      <formula>AND(H$8&gt;=$D$4,H$8&lt;=$D$5,$D4 &gt; 0)</formula>
    </cfRule>
  </conditionalFormatting>
  <conditionalFormatting sqref="H11:SC48">
    <cfRule type="expression" dxfId="5" priority="3">
      <formula>AND(H$9&gt;=$F11,H$9&lt;=$G11,$E11 = $G$1)</formula>
    </cfRule>
    <cfRule type="expression" dxfId="4" priority="10">
      <formula>AND(H$9&gt;=$F11,H$9&lt;=$G11,$E11 = $G$2)</formula>
    </cfRule>
    <cfRule type="expression" dxfId="3" priority="11">
      <formula>AND(H$9&gt;=$F11,H$9&lt;=$G11,$E11 = $G$3)</formula>
    </cfRule>
    <cfRule type="expression" dxfId="2" priority="12">
      <formula>AND(H$9&gt;=$F11,H$9&lt;=$G11,$E11 = $G$4)</formula>
    </cfRule>
    <cfRule type="expression" dxfId="1" priority="13">
      <formula>AND(H$9&gt;=$F11,H$9&lt;=$G11,$E11 = $G$5)</formula>
    </cfRule>
    <cfRule type="expression" dxfId="0" priority="14">
      <formula>AND(H$9&gt;=$F11,H$9&lt;=$G11,$E11 = $G$6)</formula>
    </cfRule>
  </conditionalFormatting>
  <dataValidations count="1">
    <dataValidation type="custom" allowBlank="1" showDropDown="1" sqref="D4:D5 F11:F48 G11:G49" xr:uid="{00000000-0002-0000-0200-000003000000}">
      <formula1>OR(NOT(ISERROR(DATEVALUE(D4))), AND(ISNUMBER(D4), LEFT(CELL("format", D4))="D"))</formula1>
    </dataValidation>
  </dataValidations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200-000000000000}">
          <x14:formula1>
            <xm:f>'Setup ⚙️'!$Q$8:$AA$52</xm:f>
          </x14:formula1>
          <xm:sqref>D12:D18 D20:D24 D26:D31 D33:D36 D38:D42 D44:D48</xm:sqref>
        </x14:dataValidation>
        <x14:dataValidation type="list" allowBlank="1" showErrorMessage="1" xr:uid="{00000000-0002-0000-0200-000001000000}">
          <x14:formula1>
            <xm:f>'Setup ⚙️'!$AQ$6:$AY$15</xm:f>
          </x14:formula1>
          <xm:sqref>E12:E18 E20:E24 E26:E31 E33:E36 E44:E48 E38:E42</xm:sqref>
        </x14:dataValidation>
        <x14:dataValidation type="list" allowBlank="1" showErrorMessage="1" xr:uid="{00000000-0002-0000-0200-000002000000}">
          <x14:formula1>
            <xm:f>'Setup ⚙️'!$AQ$18:$AY$22</xm:f>
          </x14:formula1>
          <xm:sqref>C12:C18 C20:C24 C26:C31 C33:C36 C38:C42 C44:C48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ec915a-73d7-4d2b-b947-04d564f7b74c" xsi:nil="true"/>
    <lcf76f155ced4ddcb4097134ff3c332f xmlns="eb2aeb9b-fad0-4b16-83b3-6447dd6c33c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CCE755DB82B940A23E34913F892C84" ma:contentTypeVersion="12" ma:contentTypeDescription="Creare un nuovo documento." ma:contentTypeScope="" ma:versionID="9c0ed12d31622744ea42e65dd102602e">
  <xsd:schema xmlns:xsd="http://www.w3.org/2001/XMLSchema" xmlns:xs="http://www.w3.org/2001/XMLSchema" xmlns:p="http://schemas.microsoft.com/office/2006/metadata/properties" xmlns:ns2="eb2aeb9b-fad0-4b16-83b3-6447dd6c33c0" xmlns:ns3="10ec915a-73d7-4d2b-b947-04d564f7b74c" targetNamespace="http://schemas.microsoft.com/office/2006/metadata/properties" ma:root="true" ma:fieldsID="d537aff2201fa09c7df53d5f99083789" ns2:_="" ns3:_="">
    <xsd:import namespace="eb2aeb9b-fad0-4b16-83b3-6447dd6c33c0"/>
    <xsd:import namespace="10ec915a-73d7-4d2b-b947-04d564f7b7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2aeb9b-fad0-4b16-83b3-6447dd6c33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4fcfb70c-bfb9-411d-a5bd-78c2dd418d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ec915a-73d7-4d2b-b947-04d564f7b7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186525f6-fec8-4f7b-83fd-b20b658b6830}" ma:internalName="TaxCatchAll" ma:showField="CatchAllData" ma:web="10ec915a-73d7-4d2b-b947-04d564f7b7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384EBE-1B40-499A-AFF7-EEE442F4DE89}">
  <ds:schemaRefs>
    <ds:schemaRef ds:uri="http://schemas.microsoft.com/office/2006/metadata/properties"/>
    <ds:schemaRef ds:uri="http://www.w3.org/2000/xmlns/"/>
  </ds:schemaRefs>
</ds:datastoreItem>
</file>

<file path=customXml/itemProps2.xml><?xml version="1.0" encoding="utf-8"?>
<ds:datastoreItem xmlns:ds="http://schemas.openxmlformats.org/officeDocument/2006/customXml" ds:itemID="{F99B9D0E-22E7-421F-93EE-CA1CA9892D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F6408A-F1E7-446A-A32E-B38CBA4516AC}"/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Setup ⚙️</vt:lpstr>
      <vt:lpstr>Gantt Chart 📅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f.ovio@teamsystem.com</dc:creator>
  <cp:keywords/>
  <dc:description/>
  <cp:lastModifiedBy>Massimo Di Trapani</cp:lastModifiedBy>
  <cp:revision/>
  <dcterms:created xsi:type="dcterms:W3CDTF">2025-06-27T13:46:54Z</dcterms:created>
  <dcterms:modified xsi:type="dcterms:W3CDTF">2026-04-07T14:11:23Z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0x0101006DCCE755DB82B940A23E34913F892C84</vt:lpwstr>
  </property>
</Properties>
</file>